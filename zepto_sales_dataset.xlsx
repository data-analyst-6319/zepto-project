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7A37027E-53D8-4F13-9196-ECDC68F5565C}" xr6:coauthVersionLast="47" xr6:coauthVersionMax="47" xr10:uidLastSave="{00000000-0000-0000-0000-000000000000}"/>
  <bookViews>
    <workbookView xWindow="-108" yWindow="-108" windowWidth="23256" windowHeight="12576" activeTab="1" xr2:uid="{1FE8286F-7B25-4C7A-86D9-2FF31E6A4393}"/>
  </bookViews>
  <sheets>
    <sheet name="zepto_sales_dataset_csv" sheetId="10" r:id="rId1"/>
    <sheet name="Dashboard" sheetId="9" r:id="rId2"/>
    <sheet name="zepto_sales_dataset" sheetId="1" r:id="rId3"/>
    <sheet name="Table" sheetId="6" r:id="rId4"/>
    <sheet name="Pivot" sheetId="7" r:id="rId5"/>
  </sheets>
  <definedNames>
    <definedName name="ExternalData_1" localSheetId="0" hidden="1">zepto_sales_dataset_csv!$A$1:$I$301</definedName>
    <definedName name="Slicer_Category">#N/A</definedName>
    <definedName name="Slicer_City">#N/A</definedName>
    <definedName name="Slicer_Influencer_Active">#N/A</definedName>
    <definedName name="Slicer_Product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1" l="1"/>
  <c r="M13" i="1"/>
  <c r="P12" i="1"/>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2" i="6"/>
  <c r="M9" i="1"/>
  <c r="M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240779-0521-4F68-97CC-6296AFE14109}" keepAlive="1" name="Query - zepto_sales_dataset_csv" description="Connection to the 'zepto_sales_dataset_csv' query in the workbook." type="5" refreshedVersion="8" background="1" saveData="1">
    <dbPr connection="Provider=Microsoft.Mashup.OleDb.1;Data Source=$Workbook$;Location=zepto_sales_dataset_csv;Extended Properties=&quot;&quot;" command="SELECT * FROM [zepto_sales_dataset_csv]"/>
  </connection>
</connections>
</file>

<file path=xl/sharedStrings.xml><?xml version="1.0" encoding="utf-8"?>
<sst xmlns="http://schemas.openxmlformats.org/spreadsheetml/2006/main" count="3669" uniqueCount="42">
  <si>
    <t>Product Name</t>
  </si>
  <si>
    <t>Category</t>
  </si>
  <si>
    <t>City</t>
  </si>
  <si>
    <t>Original Price</t>
  </si>
  <si>
    <t>Current Price</t>
  </si>
  <si>
    <t>Discount</t>
  </si>
  <si>
    <t>Orders</t>
  </si>
  <si>
    <t>Total Revenue</t>
  </si>
  <si>
    <t>Influencer Active</t>
  </si>
  <si>
    <t>Britannia Cake</t>
  </si>
  <si>
    <t>Snacks</t>
  </si>
  <si>
    <t>Delhi</t>
  </si>
  <si>
    <t>No</t>
  </si>
  <si>
    <t>Pune</t>
  </si>
  <si>
    <t>Yes</t>
  </si>
  <si>
    <t>Fortune Oil 1L</t>
  </si>
  <si>
    <t>Grocery</t>
  </si>
  <si>
    <t>Hyderabad</t>
  </si>
  <si>
    <t>Pepsi 500ml</t>
  </si>
  <si>
    <t>Beverages</t>
  </si>
  <si>
    <t>Aashirvaad Atta</t>
  </si>
  <si>
    <t>Chennai</t>
  </si>
  <si>
    <t>Amul Milk 500ml</t>
  </si>
  <si>
    <t>Dairy</t>
  </si>
  <si>
    <t>Bangalore</t>
  </si>
  <si>
    <t>Mumbai</t>
  </si>
  <si>
    <t>Maggi Noodles</t>
  </si>
  <si>
    <t>Instant Food</t>
  </si>
  <si>
    <t>Oreo Biscuits</t>
  </si>
  <si>
    <t>Coca Cola 1L</t>
  </si>
  <si>
    <t>Parle-G</t>
  </si>
  <si>
    <t>Nestle Munch</t>
  </si>
  <si>
    <t>Confectionery</t>
  </si>
  <si>
    <t>Row Labels</t>
  </si>
  <si>
    <t>Grand Total</t>
  </si>
  <si>
    <t>Sum of Total Revenue</t>
  </si>
  <si>
    <t>Average of Discount</t>
  </si>
  <si>
    <t>Average Discount</t>
  </si>
  <si>
    <t>Total Orders</t>
  </si>
  <si>
    <t>Sum of Average of Discount</t>
  </si>
  <si>
    <t>Sum of Orders</t>
  </si>
  <si>
    <t>Influencer-Driven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</si>
</sst>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6" fillId="0" borderId="10" xfId="0" applyFont="1" applyBorder="1"/>
    <xf numFmtId="0" fontId="0" fillId="0" borderId="10" xfId="0" applyBorder="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4" fontId="16" fillId="0" borderId="10" xfId="0" applyNumberFormat="1" applyFont="1" applyBorder="1"/>
    <xf numFmtId="164" fontId="0" fillId="0" borderId="10" xfId="0" applyNumberFormat="1" applyBorder="1"/>
    <xf numFmtId="164" fontId="0" fillId="0" borderId="0" xfId="0" applyNumberFormat="1"/>
    <xf numFmtId="164" fontId="16" fillId="0" borderId="14" xfId="0" applyNumberFormat="1" applyFont="1" applyBorder="1"/>
    <xf numFmtId="164" fontId="0" fillId="0" borderId="17" xfId="0" applyNumberFormat="1" applyBorder="1"/>
    <xf numFmtId="0" fontId="16" fillId="0" borderId="10" xfId="0" applyFont="1" applyBorder="1" applyAlignment="1">
      <alignment horizontal="center" vertical="center"/>
    </xf>
    <xf numFmtId="10" fontId="0" fillId="0" borderId="10" xfId="0" applyNumberFormat="1" applyBorder="1"/>
    <xf numFmtId="2" fontId="0" fillId="0" borderId="10" xfId="0" applyNumberFormat="1" applyBorder="1"/>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D3170"/>
      <color rgb="FF9966FF"/>
      <color rgb="FFCC00FF"/>
      <color rgb="FFD105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[zepto_sales_dataset.xlsx]Pivot!PivotTable8</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Pivot!$M$4:$M$14</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Pivot!$N$4:$N$14</c:f>
              <c:numCache>
                <c:formatCode>General</c:formatCode>
                <c:ptCount val="10"/>
                <c:pt idx="0">
                  <c:v>5121</c:v>
                </c:pt>
                <c:pt idx="1">
                  <c:v>4902</c:v>
                </c:pt>
                <c:pt idx="2">
                  <c:v>4148</c:v>
                </c:pt>
                <c:pt idx="3">
                  <c:v>6175</c:v>
                </c:pt>
                <c:pt idx="4">
                  <c:v>4318</c:v>
                </c:pt>
                <c:pt idx="5">
                  <c:v>5654</c:v>
                </c:pt>
                <c:pt idx="6">
                  <c:v>5243</c:v>
                </c:pt>
                <c:pt idx="7">
                  <c:v>4469</c:v>
                </c:pt>
                <c:pt idx="8">
                  <c:v>5789</c:v>
                </c:pt>
                <c:pt idx="9">
                  <c:v>4627</c:v>
                </c:pt>
              </c:numCache>
            </c:numRef>
          </c:val>
          <c:extLst>
            <c:ext xmlns:c16="http://schemas.microsoft.com/office/drawing/2014/chart" uri="{C3380CC4-5D6E-409C-BE32-E72D297353CC}">
              <c16:uniqueId val="{00000000-A899-4742-9265-3EC4D0417D50}"/>
            </c:ext>
          </c:extLst>
        </c:ser>
        <c:dLbls>
          <c:showLegendKey val="0"/>
          <c:showVal val="0"/>
          <c:showCatName val="0"/>
          <c:showSerName val="0"/>
          <c:showPercent val="0"/>
          <c:showBubbleSize val="0"/>
        </c:dLbls>
        <c:gapWidth val="100"/>
        <c:overlap val="-24"/>
        <c:axId val="1846723936"/>
        <c:axId val="1846719616"/>
      </c:barChart>
      <c:catAx>
        <c:axId val="1846723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19616"/>
        <c:crosses val="autoZero"/>
        <c:auto val="1"/>
        <c:lblAlgn val="ctr"/>
        <c:lblOffset val="100"/>
        <c:noMultiLvlLbl val="0"/>
      </c:catAx>
      <c:valAx>
        <c:axId val="184671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2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[zepto_sales_dataset.xlsx]Pivot!PivotTable6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Pivot!$F$3</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Pivot!$E$4:$E$10</c:f>
              <c:strCache>
                <c:ptCount val="6"/>
                <c:pt idx="0">
                  <c:v>Beverages</c:v>
                </c:pt>
                <c:pt idx="1">
                  <c:v>Confectionery</c:v>
                </c:pt>
                <c:pt idx="2">
                  <c:v>Dairy</c:v>
                </c:pt>
                <c:pt idx="3">
                  <c:v>Grocery</c:v>
                </c:pt>
                <c:pt idx="4">
                  <c:v>Instant Food</c:v>
                </c:pt>
                <c:pt idx="5">
                  <c:v>Snacks</c:v>
                </c:pt>
              </c:strCache>
            </c:strRef>
          </c:cat>
          <c:val>
            <c:numRef>
              <c:f>Pivot!$F$4:$F$10</c:f>
              <c:numCache>
                <c:formatCode>General</c:formatCode>
                <c:ptCount val="6"/>
                <c:pt idx="0">
                  <c:v>266.22799936930483</c:v>
                </c:pt>
                <c:pt idx="1">
                  <c:v>198.17784236800802</c:v>
                </c:pt>
                <c:pt idx="2">
                  <c:v>146.30720013722436</c:v>
                </c:pt>
                <c:pt idx="3">
                  <c:v>257.46512654879388</c:v>
                </c:pt>
                <c:pt idx="4">
                  <c:v>139.71407806620397</c:v>
                </c:pt>
                <c:pt idx="5">
                  <c:v>431.03351819933056</c:v>
                </c:pt>
              </c:numCache>
            </c:numRef>
          </c:val>
          <c:smooth val="0"/>
          <c:extLst>
            <c:ext xmlns:c16="http://schemas.microsoft.com/office/drawing/2014/chart" uri="{C3380CC4-5D6E-409C-BE32-E72D297353CC}">
              <c16:uniqueId val="{00000000-0F8C-4EFE-9966-93A5FC337C3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46746976"/>
        <c:axId val="1846750816"/>
      </c:lineChart>
      <c:catAx>
        <c:axId val="18467469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46750816"/>
        <c:crosses val="autoZero"/>
        <c:auto val="1"/>
        <c:lblAlgn val="ctr"/>
        <c:lblOffset val="100"/>
        <c:noMultiLvlLbl val="0"/>
      </c:catAx>
      <c:valAx>
        <c:axId val="184675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67469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[zepto_sales_dataset.xlsx]Pivot!PivotTable7</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c:f>
              <c:strCache>
                <c:ptCount val="1"/>
                <c:pt idx="0">
                  <c:v>Total</c:v>
                </c:pt>
              </c:strCache>
            </c:strRef>
          </c:tx>
          <c:spPr>
            <a:solidFill>
              <a:schemeClr val="accent1"/>
            </a:solidFill>
            <a:ln>
              <a:noFill/>
            </a:ln>
            <a:effectLst/>
          </c:spPr>
          <c:invertIfNegative val="0"/>
          <c:cat>
            <c:strRef>
              <c:f>Pivot!$I$4:$I$6</c:f>
              <c:strCache>
                <c:ptCount val="2"/>
                <c:pt idx="0">
                  <c:v>No</c:v>
                </c:pt>
                <c:pt idx="1">
                  <c:v>Yes</c:v>
                </c:pt>
              </c:strCache>
            </c:strRef>
          </c:cat>
          <c:val>
            <c:numRef>
              <c:f>Pivot!$J$4:$J$6</c:f>
              <c:numCache>
                <c:formatCode>"₹"\ #,##0.00</c:formatCode>
                <c:ptCount val="2"/>
                <c:pt idx="0">
                  <c:v>4118879</c:v>
                </c:pt>
                <c:pt idx="1">
                  <c:v>1664472</c:v>
                </c:pt>
              </c:numCache>
            </c:numRef>
          </c:val>
          <c:extLst>
            <c:ext xmlns:c16="http://schemas.microsoft.com/office/drawing/2014/chart" uri="{C3380CC4-5D6E-409C-BE32-E72D297353CC}">
              <c16:uniqueId val="{00000000-1F06-4DA5-A3A2-EA7312D599D9}"/>
            </c:ext>
          </c:extLst>
        </c:ser>
        <c:dLbls>
          <c:showLegendKey val="0"/>
          <c:showVal val="0"/>
          <c:showCatName val="0"/>
          <c:showSerName val="0"/>
          <c:showPercent val="0"/>
          <c:showBubbleSize val="0"/>
        </c:dLbls>
        <c:gapWidth val="219"/>
        <c:overlap val="-27"/>
        <c:axId val="1846744096"/>
        <c:axId val="1846744576"/>
      </c:barChart>
      <c:catAx>
        <c:axId val="184674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44576"/>
        <c:crosses val="autoZero"/>
        <c:auto val="1"/>
        <c:lblAlgn val="ctr"/>
        <c:lblOffset val="100"/>
        <c:noMultiLvlLbl val="0"/>
      </c:catAx>
      <c:valAx>
        <c:axId val="1846744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4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[zepto_sales_dataset.xlsx]Pivot!PivotTable5</c:name>
    <c:fmtId val="2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hade val="50000"/>
            </a:schemeClr>
          </a:solidFill>
          <a:ln>
            <a:noFill/>
          </a:ln>
          <a:effectLst/>
        </c:spPr>
      </c:pivotFmt>
      <c:pivotFmt>
        <c:idx val="9"/>
        <c:spPr>
          <a:solidFill>
            <a:schemeClr val="accent2">
              <a:shade val="70000"/>
            </a:schemeClr>
          </a:solidFill>
          <a:ln>
            <a:noFill/>
          </a:ln>
          <a:effectLst/>
        </c:spPr>
      </c:pivotFmt>
      <c:pivotFmt>
        <c:idx val="10"/>
        <c:spPr>
          <a:solidFill>
            <a:schemeClr val="accent2">
              <a:shade val="90000"/>
            </a:schemeClr>
          </a:solidFill>
          <a:ln>
            <a:noFill/>
          </a:ln>
          <a:effectLst/>
        </c:spPr>
      </c:pivotFmt>
      <c:pivotFmt>
        <c:idx val="11"/>
        <c:spPr>
          <a:solidFill>
            <a:schemeClr val="accent2"/>
          </a:solidFill>
          <a:ln>
            <a:noFill/>
          </a:ln>
          <a:effectLst/>
        </c:spPr>
      </c:pivotFmt>
      <c:pivotFmt>
        <c:idx val="12"/>
        <c:spPr>
          <a:solidFill>
            <a:schemeClr val="accent2">
              <a:tint val="70000"/>
            </a:schemeClr>
          </a:solidFill>
          <a:ln>
            <a:noFill/>
          </a:ln>
          <a:effectLst/>
        </c:spPr>
      </c:pivotFmt>
      <c:pivotFmt>
        <c:idx val="13"/>
        <c:spPr>
          <a:solidFill>
            <a:schemeClr val="accent2"/>
          </a:solidFill>
          <a:ln>
            <a:noFill/>
          </a:ln>
          <a:effectLst/>
        </c:spP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hade val="50000"/>
            </a:schemeClr>
          </a:solidFill>
          <a:ln>
            <a:noFill/>
          </a:ln>
          <a:effectLst/>
        </c:spPr>
      </c:pivotFmt>
      <c:pivotFmt>
        <c:idx val="16"/>
        <c:spPr>
          <a:solidFill>
            <a:schemeClr val="accent2">
              <a:shade val="70000"/>
            </a:schemeClr>
          </a:solidFill>
          <a:ln>
            <a:noFill/>
          </a:ln>
          <a:effectLst/>
        </c:spPr>
      </c:pivotFmt>
      <c:pivotFmt>
        <c:idx val="17"/>
        <c:spPr>
          <a:solidFill>
            <a:schemeClr val="accent2">
              <a:shade val="90000"/>
            </a:schemeClr>
          </a:solidFill>
          <a:ln>
            <a:noFill/>
          </a:ln>
          <a:effectLst/>
        </c:spPr>
      </c:pivotFmt>
      <c:pivotFmt>
        <c:idx val="18"/>
        <c:spPr>
          <a:solidFill>
            <a:schemeClr val="accent2"/>
          </a:solidFill>
          <a:ln>
            <a:noFill/>
          </a:ln>
          <a:effectLst/>
        </c:spPr>
      </c:pivotFmt>
      <c:pivotFmt>
        <c:idx val="19"/>
        <c:spPr>
          <a:solidFill>
            <a:schemeClr val="accent2">
              <a:tint val="70000"/>
            </a:schemeClr>
          </a:solidFill>
          <a:ln>
            <a:noFill/>
          </a:ln>
          <a:effectLst/>
        </c:spPr>
      </c:pivotFmt>
      <c:pivotFmt>
        <c:idx val="20"/>
        <c:spPr>
          <a:solidFill>
            <a:schemeClr val="accent2"/>
          </a:solidFill>
          <a:ln>
            <a:noFill/>
          </a:ln>
          <a:effectLst/>
        </c:spPr>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hade val="50000"/>
            </a:schemeClr>
          </a:solidFill>
          <a:ln>
            <a:noFill/>
          </a:ln>
          <a:effectLst/>
        </c:spPr>
      </c:pivotFmt>
      <c:pivotFmt>
        <c:idx val="23"/>
        <c:spPr>
          <a:solidFill>
            <a:schemeClr val="accent2">
              <a:shade val="70000"/>
            </a:schemeClr>
          </a:solidFill>
          <a:ln>
            <a:noFill/>
          </a:ln>
          <a:effectLst/>
        </c:spPr>
      </c:pivotFmt>
      <c:pivotFmt>
        <c:idx val="24"/>
        <c:spPr>
          <a:solidFill>
            <a:schemeClr val="accent2">
              <a:shade val="90000"/>
            </a:schemeClr>
          </a:solidFill>
          <a:ln>
            <a:noFill/>
          </a:ln>
          <a:effectLst/>
        </c:spPr>
      </c:pivotFmt>
      <c:pivotFmt>
        <c:idx val="25"/>
        <c:spPr>
          <a:solidFill>
            <a:schemeClr val="accent2"/>
          </a:solidFill>
          <a:ln>
            <a:noFill/>
          </a:ln>
          <a:effectLst/>
        </c:spPr>
      </c:pivotFmt>
      <c:pivotFmt>
        <c:idx val="26"/>
        <c:spPr>
          <a:solidFill>
            <a:schemeClr val="accent2">
              <a:tint val="70000"/>
            </a:schemeClr>
          </a:solidFill>
          <a:ln>
            <a:noFill/>
          </a:ln>
          <a:effectLst/>
        </c:spPr>
      </c:pivotFmt>
      <c:pivotFmt>
        <c:idx val="27"/>
        <c:spPr>
          <a:solidFill>
            <a:schemeClr val="accent2"/>
          </a:solidFill>
          <a:ln>
            <a:noFill/>
          </a:ln>
          <a:effectLst/>
        </c:spPr>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hade val="50000"/>
            </a:schemeClr>
          </a:solidFill>
          <a:ln>
            <a:noFill/>
          </a:ln>
          <a:effectLst/>
        </c:spPr>
      </c:pivotFmt>
      <c:pivotFmt>
        <c:idx val="30"/>
        <c:spPr>
          <a:solidFill>
            <a:schemeClr val="accent2">
              <a:shade val="70000"/>
            </a:schemeClr>
          </a:solidFill>
          <a:ln>
            <a:noFill/>
          </a:ln>
          <a:effectLst/>
        </c:spPr>
      </c:pivotFmt>
      <c:pivotFmt>
        <c:idx val="31"/>
        <c:spPr>
          <a:solidFill>
            <a:schemeClr val="accent2">
              <a:shade val="90000"/>
            </a:schemeClr>
          </a:solidFill>
          <a:ln>
            <a:noFill/>
          </a:ln>
          <a:effectLst/>
        </c:spPr>
      </c:pivotFmt>
      <c:pivotFmt>
        <c:idx val="32"/>
        <c:spPr>
          <a:solidFill>
            <a:schemeClr val="accent2"/>
          </a:solidFill>
          <a:ln>
            <a:noFill/>
          </a:ln>
          <a:effectLst/>
        </c:spPr>
      </c:pivotFmt>
      <c:pivotFmt>
        <c:idx val="33"/>
        <c:spPr>
          <a:solidFill>
            <a:schemeClr val="accent2">
              <a:tint val="70000"/>
            </a:schemeClr>
          </a:solidFill>
          <a:ln>
            <a:noFill/>
          </a:ln>
          <a:effectLst/>
        </c:spPr>
      </c:pivotFmt>
      <c:pivotFmt>
        <c:idx val="34"/>
        <c:spPr>
          <a:solidFill>
            <a:schemeClr val="accent2"/>
          </a:solidFill>
          <a:ln>
            <a:noFill/>
          </a:ln>
          <a:effectLst/>
        </c:spPr>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hade val="50000"/>
            </a:schemeClr>
          </a:solidFill>
          <a:ln>
            <a:noFill/>
          </a:ln>
          <a:effectLst/>
        </c:spPr>
      </c:pivotFmt>
      <c:pivotFmt>
        <c:idx val="37"/>
        <c:spPr>
          <a:solidFill>
            <a:schemeClr val="accent2">
              <a:shade val="70000"/>
            </a:schemeClr>
          </a:solidFill>
          <a:ln>
            <a:noFill/>
          </a:ln>
          <a:effectLst/>
        </c:spPr>
      </c:pivotFmt>
      <c:pivotFmt>
        <c:idx val="38"/>
        <c:spPr>
          <a:solidFill>
            <a:schemeClr val="accent2">
              <a:shade val="90000"/>
            </a:schemeClr>
          </a:solidFill>
          <a:ln>
            <a:noFill/>
          </a:ln>
          <a:effectLst/>
        </c:spPr>
      </c:pivotFmt>
      <c:pivotFmt>
        <c:idx val="39"/>
        <c:spPr>
          <a:solidFill>
            <a:schemeClr val="accent2"/>
          </a:solidFill>
          <a:ln>
            <a:noFill/>
          </a:ln>
          <a:effectLst/>
        </c:spPr>
      </c:pivotFmt>
      <c:pivotFmt>
        <c:idx val="40"/>
        <c:spPr>
          <a:solidFill>
            <a:schemeClr val="accent2">
              <a:tint val="70000"/>
            </a:schemeClr>
          </a:solidFill>
          <a:ln>
            <a:noFill/>
          </a:ln>
          <a:effectLst/>
        </c:spPr>
      </c:pivotFmt>
      <c:pivotFmt>
        <c:idx val="41"/>
        <c:spPr>
          <a:solidFill>
            <a:schemeClr val="accent2"/>
          </a:solidFill>
          <a:ln>
            <a:noFill/>
          </a:ln>
          <a:effectLst/>
        </c:spPr>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hade val="50000"/>
            </a:schemeClr>
          </a:solidFill>
          <a:ln>
            <a:noFill/>
          </a:ln>
          <a:effectLst/>
        </c:spPr>
      </c:pivotFmt>
      <c:pivotFmt>
        <c:idx val="44"/>
        <c:spPr>
          <a:solidFill>
            <a:schemeClr val="accent2">
              <a:shade val="70000"/>
            </a:schemeClr>
          </a:solidFill>
          <a:ln>
            <a:noFill/>
          </a:ln>
          <a:effectLst/>
        </c:spPr>
      </c:pivotFmt>
      <c:pivotFmt>
        <c:idx val="45"/>
        <c:spPr>
          <a:solidFill>
            <a:schemeClr val="accent2">
              <a:shade val="90000"/>
            </a:schemeClr>
          </a:solidFill>
          <a:ln>
            <a:noFill/>
          </a:ln>
          <a:effectLst/>
        </c:spPr>
      </c:pivotFmt>
      <c:pivotFmt>
        <c:idx val="46"/>
        <c:spPr>
          <a:solidFill>
            <a:schemeClr val="accent2"/>
          </a:solidFill>
          <a:ln>
            <a:noFill/>
          </a:ln>
          <a:effectLst/>
        </c:spPr>
      </c:pivotFmt>
      <c:pivotFmt>
        <c:idx val="47"/>
        <c:spPr>
          <a:solidFill>
            <a:schemeClr val="accent2">
              <a:tint val="70000"/>
            </a:schemeClr>
          </a:solidFill>
          <a:ln>
            <a:noFill/>
          </a:ln>
          <a:effectLst/>
        </c:spPr>
      </c:pivotFmt>
      <c:pivotFmt>
        <c:idx val="48"/>
        <c:spPr>
          <a:solidFill>
            <a:schemeClr val="accent2"/>
          </a:solidFill>
          <a:ln>
            <a:noFill/>
          </a:ln>
          <a:effectLst/>
        </c:spPr>
      </c:pivotFmt>
    </c:pivotFmts>
    <c:plotArea>
      <c:layout/>
      <c:doughnutChart>
        <c:varyColors val="1"/>
        <c:ser>
          <c:idx val="0"/>
          <c:order val="0"/>
          <c:tx>
            <c:strRef>
              <c:f>Pivot!$B$3</c:f>
              <c:strCache>
                <c:ptCount val="1"/>
                <c:pt idx="0">
                  <c:v>Total</c:v>
                </c:pt>
              </c:strCache>
            </c:strRef>
          </c:tx>
          <c:dPt>
            <c:idx val="0"/>
            <c:bubble3D val="0"/>
            <c:spPr>
              <a:solidFill>
                <a:schemeClr val="accent2">
                  <a:shade val="50000"/>
                </a:schemeClr>
              </a:solidFill>
              <a:ln>
                <a:noFill/>
              </a:ln>
              <a:effectLst/>
            </c:spPr>
            <c:extLst>
              <c:ext xmlns:c16="http://schemas.microsoft.com/office/drawing/2014/chart" uri="{C3380CC4-5D6E-409C-BE32-E72D297353CC}">
                <c16:uniqueId val="{00000001-D327-49AF-9E65-496BFCD5AEEA}"/>
              </c:ext>
            </c:extLst>
          </c:dPt>
          <c:dPt>
            <c:idx val="1"/>
            <c:bubble3D val="0"/>
            <c:spPr>
              <a:solidFill>
                <a:schemeClr val="accent2">
                  <a:shade val="70000"/>
                </a:schemeClr>
              </a:solidFill>
              <a:ln>
                <a:noFill/>
              </a:ln>
              <a:effectLst/>
            </c:spPr>
            <c:extLst>
              <c:ext xmlns:c16="http://schemas.microsoft.com/office/drawing/2014/chart" uri="{C3380CC4-5D6E-409C-BE32-E72D297353CC}">
                <c16:uniqueId val="{00000003-D327-49AF-9E65-496BFCD5AEEA}"/>
              </c:ext>
            </c:extLst>
          </c:dPt>
          <c:dPt>
            <c:idx val="2"/>
            <c:bubble3D val="0"/>
            <c:spPr>
              <a:solidFill>
                <a:schemeClr val="accent2">
                  <a:shade val="90000"/>
                </a:schemeClr>
              </a:solidFill>
              <a:ln>
                <a:noFill/>
              </a:ln>
              <a:effectLst/>
            </c:spPr>
            <c:extLst>
              <c:ext xmlns:c16="http://schemas.microsoft.com/office/drawing/2014/chart" uri="{C3380CC4-5D6E-409C-BE32-E72D297353CC}">
                <c16:uniqueId val="{00000005-D327-49AF-9E65-496BFCD5AEEA}"/>
              </c:ext>
            </c:extLst>
          </c:dPt>
          <c:dPt>
            <c:idx val="3"/>
            <c:bubble3D val="0"/>
            <c:spPr>
              <a:solidFill>
                <a:schemeClr val="accent2">
                  <a:tint val="90000"/>
                </a:schemeClr>
              </a:solidFill>
              <a:ln>
                <a:noFill/>
              </a:ln>
              <a:effectLst/>
            </c:spPr>
            <c:extLst>
              <c:ext xmlns:c16="http://schemas.microsoft.com/office/drawing/2014/chart" uri="{C3380CC4-5D6E-409C-BE32-E72D297353CC}">
                <c16:uniqueId val="{00000007-D327-49AF-9E65-496BFCD5AEEA}"/>
              </c:ext>
            </c:extLst>
          </c:dPt>
          <c:dPt>
            <c:idx val="4"/>
            <c:bubble3D val="0"/>
            <c:spPr>
              <a:solidFill>
                <a:schemeClr val="accent2">
                  <a:tint val="70000"/>
                </a:schemeClr>
              </a:solidFill>
              <a:ln>
                <a:noFill/>
              </a:ln>
              <a:effectLst/>
            </c:spPr>
            <c:extLst>
              <c:ext xmlns:c16="http://schemas.microsoft.com/office/drawing/2014/chart" uri="{C3380CC4-5D6E-409C-BE32-E72D297353CC}">
                <c16:uniqueId val="{00000009-D327-49AF-9E65-496BFCD5AEEA}"/>
              </c:ext>
            </c:extLst>
          </c:dPt>
          <c:dPt>
            <c:idx val="5"/>
            <c:bubble3D val="0"/>
            <c:spPr>
              <a:solidFill>
                <a:schemeClr val="accent2">
                  <a:tint val="50000"/>
                </a:schemeClr>
              </a:solidFill>
              <a:ln>
                <a:noFill/>
              </a:ln>
              <a:effectLst/>
            </c:spPr>
            <c:extLst>
              <c:ext xmlns:c16="http://schemas.microsoft.com/office/drawing/2014/chart" uri="{C3380CC4-5D6E-409C-BE32-E72D297353CC}">
                <c16:uniqueId val="{0000000B-D327-49AF-9E65-496BFCD5AEEA}"/>
              </c:ext>
            </c:extLst>
          </c:dPt>
          <c:cat>
            <c:strRef>
              <c:f>Pivot!$A$4:$A$10</c:f>
              <c:strCache>
                <c:ptCount val="6"/>
                <c:pt idx="0">
                  <c:v>Bangalore</c:v>
                </c:pt>
                <c:pt idx="1">
                  <c:v>Chennai</c:v>
                </c:pt>
                <c:pt idx="2">
                  <c:v>Delhi</c:v>
                </c:pt>
                <c:pt idx="3">
                  <c:v>Hyderabad</c:v>
                </c:pt>
                <c:pt idx="4">
                  <c:v>Mumbai</c:v>
                </c:pt>
                <c:pt idx="5">
                  <c:v>Pune</c:v>
                </c:pt>
              </c:strCache>
            </c:strRef>
          </c:cat>
          <c:val>
            <c:numRef>
              <c:f>Pivot!$B$4:$B$10</c:f>
              <c:numCache>
                <c:formatCode>"₹"\ #,##0.00</c:formatCode>
                <c:ptCount val="6"/>
                <c:pt idx="0">
                  <c:v>1019724</c:v>
                </c:pt>
                <c:pt idx="1">
                  <c:v>834726</c:v>
                </c:pt>
                <c:pt idx="2">
                  <c:v>884943</c:v>
                </c:pt>
                <c:pt idx="3">
                  <c:v>1250930</c:v>
                </c:pt>
                <c:pt idx="4">
                  <c:v>799190</c:v>
                </c:pt>
                <c:pt idx="5">
                  <c:v>993838</c:v>
                </c:pt>
              </c:numCache>
            </c:numRef>
          </c:val>
          <c:extLst>
            <c:ext xmlns:c16="http://schemas.microsoft.com/office/drawing/2014/chart" uri="{C3380CC4-5D6E-409C-BE32-E72D297353CC}">
              <c16:uniqueId val="{0000000C-D327-49AF-9E65-496BFCD5AEE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426720</xdr:colOff>
      <xdr:row>0</xdr:row>
      <xdr:rowOff>175260</xdr:rowOff>
    </xdr:from>
    <xdr:to>
      <xdr:col>18</xdr:col>
      <xdr:colOff>419100</xdr:colOff>
      <xdr:row>5</xdr:row>
      <xdr:rowOff>121920</xdr:rowOff>
    </xdr:to>
    <xdr:sp macro="" textlink="">
      <xdr:nvSpPr>
        <xdr:cNvPr id="2" name="Rectangle: Rounded Corners 1">
          <a:extLst>
            <a:ext uri="{FF2B5EF4-FFF2-40B4-BE49-F238E27FC236}">
              <a16:creationId xmlns:a16="http://schemas.microsoft.com/office/drawing/2014/main" id="{455789A8-BC5C-6A72-EFAF-AD117D7361D0}"/>
            </a:ext>
          </a:extLst>
        </xdr:cNvPr>
        <xdr:cNvSpPr/>
      </xdr:nvSpPr>
      <xdr:spPr>
        <a:xfrm>
          <a:off x="2255520" y="175260"/>
          <a:ext cx="9136380" cy="861060"/>
        </a:xfrm>
        <a:prstGeom prst="round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a:solidFill>
                <a:srgbClr val="D1055C"/>
              </a:solidFill>
              <a:effectLst>
                <a:outerShdw blurRad="38100" dist="19050" dir="2700000" algn="tl" rotWithShape="0">
                  <a:schemeClr val="dk1">
                    <a:alpha val="40000"/>
                  </a:schemeClr>
                </a:outerShdw>
              </a:effectLst>
              <a:latin typeface="+mn-lt"/>
              <a:ea typeface="+mn-ea"/>
              <a:cs typeface="+mn-cs"/>
            </a:rPr>
            <a:t>Sales</a:t>
          </a:r>
          <a:r>
            <a:rPr lang="en-IN" sz="2400" b="1" i="0" baseline="0">
              <a:solidFill>
                <a:srgbClr val="D1055C"/>
              </a:solidFill>
              <a:effectLst>
                <a:outerShdw blurRad="38100" dist="19050" dir="2700000" algn="tl" rotWithShape="0">
                  <a:schemeClr val="dk1">
                    <a:alpha val="40000"/>
                  </a:schemeClr>
                </a:outerShdw>
              </a:effectLst>
              <a:latin typeface="+mn-lt"/>
              <a:ea typeface="+mn-ea"/>
              <a:cs typeface="+mn-cs"/>
            </a:rPr>
            <a:t> Perfomance Overview</a:t>
          </a:r>
          <a:endParaRPr lang="en-IN" sz="2400">
            <a:solidFill>
              <a:srgbClr val="D1055C"/>
            </a:solidFill>
          </a:endParaRPr>
        </a:p>
      </xdr:txBody>
    </xdr:sp>
    <xdr:clientData/>
  </xdr:twoCellAnchor>
  <xdr:twoCellAnchor editAs="oneCell">
    <xdr:from>
      <xdr:col>0</xdr:col>
      <xdr:colOff>114300</xdr:colOff>
      <xdr:row>0</xdr:row>
      <xdr:rowOff>99061</xdr:rowOff>
    </xdr:from>
    <xdr:to>
      <xdr:col>3</xdr:col>
      <xdr:colOff>198120</xdr:colOff>
      <xdr:row>6</xdr:row>
      <xdr:rowOff>7620</xdr:rowOff>
    </xdr:to>
    <xdr:pic>
      <xdr:nvPicPr>
        <xdr:cNvPr id="5" name="Picture 4">
          <a:extLst>
            <a:ext uri="{FF2B5EF4-FFF2-40B4-BE49-F238E27FC236}">
              <a16:creationId xmlns:a16="http://schemas.microsoft.com/office/drawing/2014/main" id="{0C0694C6-D713-B68A-C2FB-2AF8017B0A37}"/>
            </a:ext>
          </a:extLst>
        </xdr:cNvPr>
        <xdr:cNvPicPr>
          <a:picLocks noChangeAspect="1"/>
        </xdr:cNvPicPr>
      </xdr:nvPicPr>
      <xdr:blipFill>
        <a:blip xmlns:r="http://schemas.openxmlformats.org/officeDocument/2006/relationships" r:embed="rId1"/>
        <a:stretch>
          <a:fillRect/>
        </a:stretch>
      </xdr:blipFill>
      <xdr:spPr>
        <a:xfrm>
          <a:off x="114300" y="99061"/>
          <a:ext cx="1912620" cy="1005839"/>
        </a:xfrm>
        <a:prstGeom prst="rect">
          <a:avLst/>
        </a:prstGeom>
      </xdr:spPr>
    </xdr:pic>
    <xdr:clientData/>
  </xdr:twoCellAnchor>
  <xdr:twoCellAnchor>
    <xdr:from>
      <xdr:col>3</xdr:col>
      <xdr:colOff>457200</xdr:colOff>
      <xdr:row>6</xdr:row>
      <xdr:rowOff>91440</xdr:rowOff>
    </xdr:from>
    <xdr:to>
      <xdr:col>7</xdr:col>
      <xdr:colOff>175260</xdr:colOff>
      <xdr:row>12</xdr:row>
      <xdr:rowOff>45720</xdr:rowOff>
    </xdr:to>
    <xdr:sp macro="" textlink="">
      <xdr:nvSpPr>
        <xdr:cNvPr id="6" name="Rectangle 5">
          <a:extLst>
            <a:ext uri="{FF2B5EF4-FFF2-40B4-BE49-F238E27FC236}">
              <a16:creationId xmlns:a16="http://schemas.microsoft.com/office/drawing/2014/main" id="{A3EEE303-6E1A-CDAE-D9A7-F61351164481}"/>
            </a:ext>
          </a:extLst>
        </xdr:cNvPr>
        <xdr:cNvSpPr/>
      </xdr:nvSpPr>
      <xdr:spPr>
        <a:xfrm>
          <a:off x="2286000" y="1188720"/>
          <a:ext cx="2156460" cy="1051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502920</xdr:colOff>
      <xdr:row>6</xdr:row>
      <xdr:rowOff>91440</xdr:rowOff>
    </xdr:from>
    <xdr:to>
      <xdr:col>11</xdr:col>
      <xdr:colOff>76200</xdr:colOff>
      <xdr:row>12</xdr:row>
      <xdr:rowOff>45720</xdr:rowOff>
    </xdr:to>
    <xdr:sp macro="" textlink="">
      <xdr:nvSpPr>
        <xdr:cNvPr id="7" name="Rectangle 6">
          <a:extLst>
            <a:ext uri="{FF2B5EF4-FFF2-40B4-BE49-F238E27FC236}">
              <a16:creationId xmlns:a16="http://schemas.microsoft.com/office/drawing/2014/main" id="{303ECD6C-E02E-FA52-42CB-8164B9F745C3}"/>
            </a:ext>
          </a:extLst>
        </xdr:cNvPr>
        <xdr:cNvSpPr/>
      </xdr:nvSpPr>
      <xdr:spPr>
        <a:xfrm>
          <a:off x="4770120" y="1188720"/>
          <a:ext cx="2011680" cy="105156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342900</xdr:colOff>
      <xdr:row>6</xdr:row>
      <xdr:rowOff>99060</xdr:rowOff>
    </xdr:from>
    <xdr:to>
      <xdr:col>14</xdr:col>
      <xdr:colOff>586740</xdr:colOff>
      <xdr:row>12</xdr:row>
      <xdr:rowOff>53340</xdr:rowOff>
    </xdr:to>
    <xdr:sp macro="" textlink="">
      <xdr:nvSpPr>
        <xdr:cNvPr id="8" name="Rectangle 7">
          <a:extLst>
            <a:ext uri="{FF2B5EF4-FFF2-40B4-BE49-F238E27FC236}">
              <a16:creationId xmlns:a16="http://schemas.microsoft.com/office/drawing/2014/main" id="{653C05F1-2A36-D36D-2AA9-2AC1B294532B}"/>
            </a:ext>
          </a:extLst>
        </xdr:cNvPr>
        <xdr:cNvSpPr/>
      </xdr:nvSpPr>
      <xdr:spPr>
        <a:xfrm>
          <a:off x="7048500" y="1196340"/>
          <a:ext cx="2072640" cy="105156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236220</xdr:colOff>
      <xdr:row>6</xdr:row>
      <xdr:rowOff>106680</xdr:rowOff>
    </xdr:from>
    <xdr:to>
      <xdr:col>18</xdr:col>
      <xdr:colOff>396240</xdr:colOff>
      <xdr:row>12</xdr:row>
      <xdr:rowOff>60960</xdr:rowOff>
    </xdr:to>
    <xdr:sp macro="" textlink="">
      <xdr:nvSpPr>
        <xdr:cNvPr id="9" name="Rectangle 8">
          <a:extLst>
            <a:ext uri="{FF2B5EF4-FFF2-40B4-BE49-F238E27FC236}">
              <a16:creationId xmlns:a16="http://schemas.microsoft.com/office/drawing/2014/main" id="{4CA4EF41-E634-7078-D500-8EC2B3662894}"/>
            </a:ext>
          </a:extLst>
        </xdr:cNvPr>
        <xdr:cNvSpPr/>
      </xdr:nvSpPr>
      <xdr:spPr>
        <a:xfrm>
          <a:off x="9380220" y="1203960"/>
          <a:ext cx="1988820" cy="105156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548640</xdr:colOff>
      <xdr:row>10</xdr:row>
      <xdr:rowOff>30480</xdr:rowOff>
    </xdr:from>
    <xdr:to>
      <xdr:col>6</xdr:col>
      <xdr:colOff>571500</xdr:colOff>
      <xdr:row>11</xdr:row>
      <xdr:rowOff>152400</xdr:rowOff>
    </xdr:to>
    <xdr:sp macro="" textlink="zepto_sales_dataset!M3">
      <xdr:nvSpPr>
        <xdr:cNvPr id="11" name="TextBox 10">
          <a:extLst>
            <a:ext uri="{FF2B5EF4-FFF2-40B4-BE49-F238E27FC236}">
              <a16:creationId xmlns:a16="http://schemas.microsoft.com/office/drawing/2014/main" id="{E57FB831-9A08-ED4A-9083-70CE59875BDA}"/>
            </a:ext>
          </a:extLst>
        </xdr:cNvPr>
        <xdr:cNvSpPr txBox="1"/>
      </xdr:nvSpPr>
      <xdr:spPr>
        <a:xfrm>
          <a:off x="2377440" y="1859280"/>
          <a:ext cx="18516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41DC8A-FD0D-419B-AF15-6AAB40AE735E}" type="TxLink">
            <a:rPr lang="en-US" sz="2000" b="1" i="0" u="none" strike="noStrike">
              <a:solidFill>
                <a:srgbClr val="D1055C"/>
              </a:solidFill>
              <a:latin typeface="Calibri"/>
              <a:cs typeface="Calibri"/>
            </a:rPr>
            <a:pPr algn="ctr"/>
            <a:t>₹ 57,83,351.00</a:t>
          </a:fld>
          <a:endParaRPr lang="en-IN" sz="2000" b="1">
            <a:solidFill>
              <a:srgbClr val="D1055C"/>
            </a:solidFill>
          </a:endParaRPr>
        </a:p>
      </xdr:txBody>
    </xdr:sp>
    <xdr:clientData/>
  </xdr:twoCellAnchor>
  <xdr:twoCellAnchor>
    <xdr:from>
      <xdr:col>3</xdr:col>
      <xdr:colOff>571500</xdr:colOff>
      <xdr:row>7</xdr:row>
      <xdr:rowOff>15240</xdr:rowOff>
    </xdr:from>
    <xdr:to>
      <xdr:col>6</xdr:col>
      <xdr:colOff>601980</xdr:colOff>
      <xdr:row>9</xdr:row>
      <xdr:rowOff>83820</xdr:rowOff>
    </xdr:to>
    <xdr:sp macro="" textlink="">
      <xdr:nvSpPr>
        <xdr:cNvPr id="12" name="TextBox 11">
          <a:extLst>
            <a:ext uri="{FF2B5EF4-FFF2-40B4-BE49-F238E27FC236}">
              <a16:creationId xmlns:a16="http://schemas.microsoft.com/office/drawing/2014/main" id="{80995CC0-EC0B-77D7-1B96-E2170E6A7A3E}"/>
            </a:ext>
          </a:extLst>
        </xdr:cNvPr>
        <xdr:cNvSpPr txBox="1"/>
      </xdr:nvSpPr>
      <xdr:spPr>
        <a:xfrm>
          <a:off x="2400300" y="1295400"/>
          <a:ext cx="18592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7030A0"/>
              </a:solidFill>
              <a:latin typeface="Calibri" panose="020F0502020204030204" pitchFamily="34" charset="0"/>
              <a:cs typeface="Calibri" panose="020F0502020204030204" pitchFamily="34" charset="0"/>
            </a:rPr>
            <a:t>TOTAL REVENUE</a:t>
          </a:r>
        </a:p>
      </xdr:txBody>
    </xdr:sp>
    <xdr:clientData/>
  </xdr:twoCellAnchor>
  <xdr:twoCellAnchor>
    <xdr:from>
      <xdr:col>7</xdr:col>
      <xdr:colOff>556260</xdr:colOff>
      <xdr:row>7</xdr:row>
      <xdr:rowOff>60960</xdr:rowOff>
    </xdr:from>
    <xdr:to>
      <xdr:col>10</xdr:col>
      <xdr:colOff>487680</xdr:colOff>
      <xdr:row>8</xdr:row>
      <xdr:rowOff>152400</xdr:rowOff>
    </xdr:to>
    <xdr:sp macro="" textlink="">
      <xdr:nvSpPr>
        <xdr:cNvPr id="13" name="TextBox 12">
          <a:extLst>
            <a:ext uri="{FF2B5EF4-FFF2-40B4-BE49-F238E27FC236}">
              <a16:creationId xmlns:a16="http://schemas.microsoft.com/office/drawing/2014/main" id="{50743CEA-500F-9A4E-B7BC-8C986390EA68}"/>
            </a:ext>
          </a:extLst>
        </xdr:cNvPr>
        <xdr:cNvSpPr txBox="1"/>
      </xdr:nvSpPr>
      <xdr:spPr>
        <a:xfrm>
          <a:off x="4823460" y="1341120"/>
          <a:ext cx="176022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7030A0"/>
              </a:solidFill>
            </a:rPr>
            <a:t>TOTAL ORDERS</a:t>
          </a:r>
        </a:p>
      </xdr:txBody>
    </xdr:sp>
    <xdr:clientData/>
  </xdr:twoCellAnchor>
  <xdr:twoCellAnchor>
    <xdr:from>
      <xdr:col>8</xdr:col>
      <xdr:colOff>15240</xdr:colOff>
      <xdr:row>9</xdr:row>
      <xdr:rowOff>137160</xdr:rowOff>
    </xdr:from>
    <xdr:to>
      <xdr:col>10</xdr:col>
      <xdr:colOff>434340</xdr:colOff>
      <xdr:row>11</xdr:row>
      <xdr:rowOff>38100</xdr:rowOff>
    </xdr:to>
    <xdr:sp macro="" textlink="zepto_sales_dataset!M9">
      <xdr:nvSpPr>
        <xdr:cNvPr id="14" name="TextBox 13">
          <a:extLst>
            <a:ext uri="{FF2B5EF4-FFF2-40B4-BE49-F238E27FC236}">
              <a16:creationId xmlns:a16="http://schemas.microsoft.com/office/drawing/2014/main" id="{2DC99C24-443A-C7B1-97A5-1FFE652DF5B4}"/>
            </a:ext>
          </a:extLst>
        </xdr:cNvPr>
        <xdr:cNvSpPr txBox="1"/>
      </xdr:nvSpPr>
      <xdr:spPr>
        <a:xfrm>
          <a:off x="4892040" y="1783080"/>
          <a:ext cx="16383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C3154E-16D9-450D-A7AB-EBA7A55BBBDF}" type="TxLink">
            <a:rPr lang="en-US" sz="2000" b="1" i="0" u="none" strike="noStrike">
              <a:solidFill>
                <a:srgbClr val="D1055C"/>
              </a:solidFill>
              <a:latin typeface="Calibri"/>
              <a:cs typeface="Calibri"/>
            </a:rPr>
            <a:pPr algn="ctr"/>
            <a:t>50446</a:t>
          </a:fld>
          <a:endParaRPr lang="en-IN" sz="2000" b="1">
            <a:solidFill>
              <a:srgbClr val="D1055C"/>
            </a:solidFill>
          </a:endParaRPr>
        </a:p>
      </xdr:txBody>
    </xdr:sp>
    <xdr:clientData/>
  </xdr:twoCellAnchor>
  <xdr:twoCellAnchor>
    <xdr:from>
      <xdr:col>11</xdr:col>
      <xdr:colOff>403860</xdr:colOff>
      <xdr:row>6</xdr:row>
      <xdr:rowOff>167640</xdr:rowOff>
    </xdr:from>
    <xdr:to>
      <xdr:col>14</xdr:col>
      <xdr:colOff>533400</xdr:colOff>
      <xdr:row>9</xdr:row>
      <xdr:rowOff>53340</xdr:rowOff>
    </xdr:to>
    <xdr:sp macro="" textlink="">
      <xdr:nvSpPr>
        <xdr:cNvPr id="15" name="TextBox 14">
          <a:extLst>
            <a:ext uri="{FF2B5EF4-FFF2-40B4-BE49-F238E27FC236}">
              <a16:creationId xmlns:a16="http://schemas.microsoft.com/office/drawing/2014/main" id="{90A2809F-800D-B3FC-21F2-4EF4E1586B7F}"/>
            </a:ext>
          </a:extLst>
        </xdr:cNvPr>
        <xdr:cNvSpPr txBox="1"/>
      </xdr:nvSpPr>
      <xdr:spPr>
        <a:xfrm>
          <a:off x="7109460" y="1264920"/>
          <a:ext cx="1958340" cy="434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7030A0"/>
              </a:solidFill>
            </a:rPr>
            <a:t>Average Discount</a:t>
          </a:r>
        </a:p>
      </xdr:txBody>
    </xdr:sp>
    <xdr:clientData/>
  </xdr:twoCellAnchor>
  <xdr:twoCellAnchor>
    <xdr:from>
      <xdr:col>11</xdr:col>
      <xdr:colOff>472440</xdr:colOff>
      <xdr:row>10</xdr:row>
      <xdr:rowOff>15240</xdr:rowOff>
    </xdr:from>
    <xdr:to>
      <xdr:col>14</xdr:col>
      <xdr:colOff>457200</xdr:colOff>
      <xdr:row>11</xdr:row>
      <xdr:rowOff>137160</xdr:rowOff>
    </xdr:to>
    <xdr:sp macro="" textlink="zepto_sales_dataset!M6">
      <xdr:nvSpPr>
        <xdr:cNvPr id="16" name="TextBox 15">
          <a:extLst>
            <a:ext uri="{FF2B5EF4-FFF2-40B4-BE49-F238E27FC236}">
              <a16:creationId xmlns:a16="http://schemas.microsoft.com/office/drawing/2014/main" id="{446704FA-34B8-F61D-5595-7E1D495719C6}"/>
            </a:ext>
          </a:extLst>
        </xdr:cNvPr>
        <xdr:cNvSpPr txBox="1"/>
      </xdr:nvSpPr>
      <xdr:spPr>
        <a:xfrm>
          <a:off x="7178040" y="1844040"/>
          <a:ext cx="18135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53831-896F-4986-8775-8A43AB7257FE}" type="TxLink">
            <a:rPr lang="en-US" sz="2000" b="1" i="0" u="none" strike="noStrike">
              <a:solidFill>
                <a:srgbClr val="D1055C"/>
              </a:solidFill>
              <a:latin typeface="Calibri"/>
              <a:cs typeface="Calibri"/>
            </a:rPr>
            <a:pPr algn="ctr"/>
            <a:t>4.92</a:t>
          </a:fld>
          <a:r>
            <a:rPr lang="en-US" sz="2000" b="1" i="0" u="none" strike="noStrike">
              <a:solidFill>
                <a:srgbClr val="D1055C"/>
              </a:solidFill>
              <a:latin typeface="Calibri"/>
              <a:cs typeface="Calibri"/>
            </a:rPr>
            <a:t>%</a:t>
          </a:r>
          <a:endParaRPr lang="en-IN" sz="2000" b="1">
            <a:solidFill>
              <a:srgbClr val="D1055C"/>
            </a:solidFill>
          </a:endParaRPr>
        </a:p>
      </xdr:txBody>
    </xdr:sp>
    <xdr:clientData/>
  </xdr:twoCellAnchor>
  <xdr:twoCellAnchor>
    <xdr:from>
      <xdr:col>15</xdr:col>
      <xdr:colOff>266700</xdr:colOff>
      <xdr:row>6</xdr:row>
      <xdr:rowOff>152400</xdr:rowOff>
    </xdr:from>
    <xdr:to>
      <xdr:col>18</xdr:col>
      <xdr:colOff>327660</xdr:colOff>
      <xdr:row>10</xdr:row>
      <xdr:rowOff>68580</xdr:rowOff>
    </xdr:to>
    <xdr:sp macro="" textlink="">
      <xdr:nvSpPr>
        <xdr:cNvPr id="17" name="TextBox 16">
          <a:extLst>
            <a:ext uri="{FF2B5EF4-FFF2-40B4-BE49-F238E27FC236}">
              <a16:creationId xmlns:a16="http://schemas.microsoft.com/office/drawing/2014/main" id="{B7EAB704-25A1-9C42-49FC-5E99B0FB7247}"/>
            </a:ext>
          </a:extLst>
        </xdr:cNvPr>
        <xdr:cNvSpPr txBox="1"/>
      </xdr:nvSpPr>
      <xdr:spPr>
        <a:xfrm>
          <a:off x="9410700" y="1249680"/>
          <a:ext cx="1889760" cy="647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7030A0"/>
              </a:solidFill>
            </a:rPr>
            <a:t>Influencer-Driven Revenue</a:t>
          </a:r>
        </a:p>
      </xdr:txBody>
    </xdr:sp>
    <xdr:clientData/>
  </xdr:twoCellAnchor>
  <xdr:twoCellAnchor>
    <xdr:from>
      <xdr:col>15</xdr:col>
      <xdr:colOff>434340</xdr:colOff>
      <xdr:row>10</xdr:row>
      <xdr:rowOff>45720</xdr:rowOff>
    </xdr:from>
    <xdr:to>
      <xdr:col>18</xdr:col>
      <xdr:colOff>220980</xdr:colOff>
      <xdr:row>12</xdr:row>
      <xdr:rowOff>30480</xdr:rowOff>
    </xdr:to>
    <xdr:sp macro="" textlink="zepto_sales_dataset!M13">
      <xdr:nvSpPr>
        <xdr:cNvPr id="18" name="TextBox 17">
          <a:extLst>
            <a:ext uri="{FF2B5EF4-FFF2-40B4-BE49-F238E27FC236}">
              <a16:creationId xmlns:a16="http://schemas.microsoft.com/office/drawing/2014/main" id="{4B14F673-40E1-4562-AA96-10D7D6B77BB1}"/>
            </a:ext>
          </a:extLst>
        </xdr:cNvPr>
        <xdr:cNvSpPr txBox="1"/>
      </xdr:nvSpPr>
      <xdr:spPr>
        <a:xfrm>
          <a:off x="9578340" y="1874520"/>
          <a:ext cx="161544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112870-710F-43BE-804E-E3637A174E65}" type="TxLink">
            <a:rPr lang="en-US" sz="2000" b="1" i="0" u="none" strike="noStrike">
              <a:solidFill>
                <a:srgbClr val="D1055C"/>
              </a:solidFill>
              <a:latin typeface="Calibri"/>
              <a:cs typeface="Calibri"/>
            </a:rPr>
            <a:pPr algn="ctr"/>
            <a:t>28.78%</a:t>
          </a:fld>
          <a:endParaRPr lang="en-IN" sz="2000" b="1">
            <a:solidFill>
              <a:srgbClr val="D1055C"/>
            </a:solidFill>
          </a:endParaRPr>
        </a:p>
      </xdr:txBody>
    </xdr:sp>
    <xdr:clientData/>
  </xdr:twoCellAnchor>
  <xdr:twoCellAnchor>
    <xdr:from>
      <xdr:col>3</xdr:col>
      <xdr:colOff>406101</xdr:colOff>
      <xdr:row>26</xdr:row>
      <xdr:rowOff>60064</xdr:rowOff>
    </xdr:from>
    <xdr:to>
      <xdr:col>11</xdr:col>
      <xdr:colOff>154641</xdr:colOff>
      <xdr:row>40</xdr:row>
      <xdr:rowOff>143435</xdr:rowOff>
    </xdr:to>
    <xdr:graphicFrame macro="">
      <xdr:nvGraphicFramePr>
        <xdr:cNvPr id="20" name="Chart 19">
          <a:extLst>
            <a:ext uri="{FF2B5EF4-FFF2-40B4-BE49-F238E27FC236}">
              <a16:creationId xmlns:a16="http://schemas.microsoft.com/office/drawing/2014/main" id="{1937E366-E513-4C7A-94FC-E2FC73B6D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365759</xdr:colOff>
      <xdr:row>13</xdr:row>
      <xdr:rowOff>0</xdr:rowOff>
    </xdr:from>
    <xdr:to>
      <xdr:col>19</xdr:col>
      <xdr:colOff>89646</xdr:colOff>
      <xdr:row>25</xdr:row>
      <xdr:rowOff>91440</xdr:rowOff>
    </xdr:to>
    <xdr:graphicFrame macro="">
      <xdr:nvGraphicFramePr>
        <xdr:cNvPr id="21" name="Chart 20">
          <a:extLst>
            <a:ext uri="{FF2B5EF4-FFF2-40B4-BE49-F238E27FC236}">
              <a16:creationId xmlns:a16="http://schemas.microsoft.com/office/drawing/2014/main" id="{6B50AE4D-19CE-4C48-8FC5-71B8FF8E0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358140</xdr:colOff>
      <xdr:row>26</xdr:row>
      <xdr:rowOff>45719</xdr:rowOff>
    </xdr:from>
    <xdr:to>
      <xdr:col>19</xdr:col>
      <xdr:colOff>98612</xdr:colOff>
      <xdr:row>40</xdr:row>
      <xdr:rowOff>143434</xdr:rowOff>
    </xdr:to>
    <xdr:graphicFrame macro="">
      <xdr:nvGraphicFramePr>
        <xdr:cNvPr id="22" name="Chart 21">
          <a:extLst>
            <a:ext uri="{FF2B5EF4-FFF2-40B4-BE49-F238E27FC236}">
              <a16:creationId xmlns:a16="http://schemas.microsoft.com/office/drawing/2014/main" id="{B5C36DD4-734A-4DB3-B8FF-4510A6F79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179295</xdr:colOff>
      <xdr:row>13</xdr:row>
      <xdr:rowOff>134471</xdr:rowOff>
    </xdr:from>
    <xdr:to>
      <xdr:col>3</xdr:col>
      <xdr:colOff>179295</xdr:colOff>
      <xdr:row>30</xdr:row>
      <xdr:rowOff>80683</xdr:rowOff>
    </xdr:to>
    <mc:AlternateContent xmlns:mc="http://schemas.openxmlformats.org/markup-compatibility/2006" xmlns:a14="http://schemas.microsoft.com/office/drawing/2010/main">
      <mc:Choice Requires="a14">
        <xdr:graphicFrame macro="">
          <xdr:nvGraphicFramePr>
            <xdr:cNvPr id="24" name="Product Name">
              <a:extLst>
                <a:ext uri="{FF2B5EF4-FFF2-40B4-BE49-F238E27FC236}">
                  <a16:creationId xmlns:a16="http://schemas.microsoft.com/office/drawing/2014/main" id="{C1B71DC0-1CDE-410E-9EB2-9495ADAE87B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79295" y="2540214"/>
              <a:ext cx="1828800" cy="3092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233082</xdr:colOff>
      <xdr:row>5</xdr:row>
      <xdr:rowOff>125506</xdr:rowOff>
    </xdr:from>
    <xdr:to>
      <xdr:col>22</xdr:col>
      <xdr:colOff>313765</xdr:colOff>
      <xdr:row>16</xdr:row>
      <xdr:rowOff>172571</xdr:rowOff>
    </xdr:to>
    <mc:AlternateContent xmlns:mc="http://schemas.openxmlformats.org/markup-compatibility/2006" xmlns:a14="http://schemas.microsoft.com/office/drawing/2010/main">
      <mc:Choice Requires="a14">
        <xdr:graphicFrame macro="">
          <xdr:nvGraphicFramePr>
            <xdr:cNvPr id="25" name="City">
              <a:extLst>
                <a:ext uri="{FF2B5EF4-FFF2-40B4-BE49-F238E27FC236}">
                  <a16:creationId xmlns:a16="http://schemas.microsoft.com/office/drawing/2014/main" id="{E6F34881-AEBA-42EE-9474-6D636B16820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15482" y="1050792"/>
              <a:ext cx="1909483" cy="2082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242047</xdr:colOff>
      <xdr:row>18</xdr:row>
      <xdr:rowOff>0</xdr:rowOff>
    </xdr:from>
    <xdr:to>
      <xdr:col>22</xdr:col>
      <xdr:colOff>340659</xdr:colOff>
      <xdr:row>29</xdr:row>
      <xdr:rowOff>39445</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421F1B6B-A443-40E0-A154-8BEE4E9272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24447" y="3331029"/>
              <a:ext cx="1927412" cy="2075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161365</xdr:colOff>
      <xdr:row>7</xdr:row>
      <xdr:rowOff>107577</xdr:rowOff>
    </xdr:from>
    <xdr:to>
      <xdr:col>3</xdr:col>
      <xdr:colOff>161365</xdr:colOff>
      <xdr:row>12</xdr:row>
      <xdr:rowOff>125507</xdr:rowOff>
    </xdr:to>
    <mc:AlternateContent xmlns:mc="http://schemas.openxmlformats.org/markup-compatibility/2006" xmlns:a14="http://schemas.microsoft.com/office/drawing/2010/main">
      <mc:Choice Requires="a14">
        <xdr:graphicFrame macro="">
          <xdr:nvGraphicFramePr>
            <xdr:cNvPr id="28" name="Influencer Active">
              <a:extLst>
                <a:ext uri="{FF2B5EF4-FFF2-40B4-BE49-F238E27FC236}">
                  <a16:creationId xmlns:a16="http://schemas.microsoft.com/office/drawing/2014/main" id="{E56C94A4-4627-43CF-BF14-779408CA7254}"/>
                </a:ext>
              </a:extLst>
            </xdr:cNvPr>
            <xdr:cNvGraphicFramePr/>
          </xdr:nvGraphicFramePr>
          <xdr:xfrm>
            <a:off x="0" y="0"/>
            <a:ext cx="0" cy="0"/>
          </xdr:xfrm>
          <a:graphic>
            <a:graphicData uri="http://schemas.microsoft.com/office/drawing/2010/slicer">
              <sle:slicer xmlns:sle="http://schemas.microsoft.com/office/drawing/2010/slicer" name="Influencer Active"/>
            </a:graphicData>
          </a:graphic>
        </xdr:graphicFrame>
      </mc:Choice>
      <mc:Fallback xmlns="">
        <xdr:sp macro="" textlink="">
          <xdr:nvSpPr>
            <xdr:cNvPr id="0" name=""/>
            <xdr:cNvSpPr>
              <a:spLocks noTextEdit="1"/>
            </xdr:cNvSpPr>
          </xdr:nvSpPr>
          <xdr:spPr>
            <a:xfrm>
              <a:off x="161365" y="1402977"/>
              <a:ext cx="1828800" cy="943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71718</xdr:colOff>
      <xdr:row>0</xdr:row>
      <xdr:rowOff>44824</xdr:rowOff>
    </xdr:from>
    <xdr:to>
      <xdr:col>21</xdr:col>
      <xdr:colOff>546847</xdr:colOff>
      <xdr:row>5</xdr:row>
      <xdr:rowOff>107576</xdr:rowOff>
    </xdr:to>
    <xdr:pic>
      <xdr:nvPicPr>
        <xdr:cNvPr id="30" name="Graphic 29" descr="Bar graph with upward trend with solid fill">
          <a:extLst>
            <a:ext uri="{FF2B5EF4-FFF2-40B4-BE49-F238E27FC236}">
              <a16:creationId xmlns:a16="http://schemas.microsoft.com/office/drawing/2014/main" id="{7274130B-50F3-DD46-4B8A-028C13D3214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654118" y="44824"/>
          <a:ext cx="1694329" cy="959223"/>
        </a:xfrm>
        <a:prstGeom prst="rect">
          <a:avLst/>
        </a:prstGeom>
      </xdr:spPr>
    </xdr:pic>
    <xdr:clientData/>
  </xdr:twoCellAnchor>
  <xdr:twoCellAnchor>
    <xdr:from>
      <xdr:col>3</xdr:col>
      <xdr:colOff>457200</xdr:colOff>
      <xdr:row>12</xdr:row>
      <xdr:rowOff>161366</xdr:rowOff>
    </xdr:from>
    <xdr:to>
      <xdr:col>11</xdr:col>
      <xdr:colOff>259976</xdr:colOff>
      <xdr:row>25</xdr:row>
      <xdr:rowOff>170329</xdr:rowOff>
    </xdr:to>
    <xdr:graphicFrame macro="">
      <xdr:nvGraphicFramePr>
        <xdr:cNvPr id="31" name="Chart 30">
          <a:extLst>
            <a:ext uri="{FF2B5EF4-FFF2-40B4-BE49-F238E27FC236}">
              <a16:creationId xmlns:a16="http://schemas.microsoft.com/office/drawing/2014/main" id="{2763F664-BBC6-4DAC-A8B7-253D74E33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2.506728587963" createdVersion="8" refreshedVersion="8" minRefreshableVersion="3" recordCount="300" xr:uid="{C08AB955-7067-477F-902D-0B454BD3B56A}">
  <cacheSource type="worksheet">
    <worksheetSource name="Table3"/>
  </cacheSource>
  <cacheFields count="10">
    <cacheField name="Product Name" numFmtId="0">
      <sharedItems count="10">
        <s v="Britannia Cake"/>
        <s v="Fortune Oil 1L"/>
        <s v="Pepsi 500ml"/>
        <s v="Aashirvaad Atta"/>
        <s v="Amul Milk 500ml"/>
        <s v="Maggi Noodles"/>
        <s v="Oreo Biscuits"/>
        <s v="Coca Cola 1L"/>
        <s v="Parle-G"/>
        <s v="Nestle Munch"/>
      </sharedItems>
    </cacheField>
    <cacheField name="Category" numFmtId="0">
      <sharedItems count="6">
        <s v="Snacks"/>
        <s v="Grocery"/>
        <s v="Beverages"/>
        <s v="Dairy"/>
        <s v="Instant Food"/>
        <s v="Confectionery"/>
      </sharedItems>
    </cacheField>
    <cacheField name="City" numFmtId="0">
      <sharedItems count="6">
        <s v="Delhi"/>
        <s v="Pune"/>
        <s v="Hyderabad"/>
        <s v="Chennai"/>
        <s v="Bangalore"/>
        <s v="Mumbai"/>
      </sharedItems>
    </cacheField>
    <cacheField name="Original Price" numFmtId="164">
      <sharedItems containsSemiMixedTypes="0" containsString="0" containsNumber="1" containsInteger="1" minValue="20" maxValue="199"/>
    </cacheField>
    <cacheField name="Current Price" numFmtId="164">
      <sharedItems containsSemiMixedTypes="0" containsString="0" containsNumber="1" containsInteger="1" minValue="21" maxValue="213"/>
    </cacheField>
    <cacheField name="Discount" numFmtId="0">
      <sharedItems containsSemiMixedTypes="0" containsString="0" containsNumber="1" containsInteger="1" minValue="0" maxValue="10"/>
    </cacheField>
    <cacheField name="Orders" numFmtId="0">
      <sharedItems containsSemiMixedTypes="0" containsString="0" containsNumber="1" containsInteger="1" minValue="50" maxValue="299"/>
    </cacheField>
    <cacheField name="Total Revenue" numFmtId="164">
      <sharedItems containsSemiMixedTypes="0" containsString="0" containsNumber="1" containsInteger="1" minValue="1392" maxValue="58212"/>
    </cacheField>
    <cacheField name="Influencer Active" numFmtId="0">
      <sharedItems count="2">
        <s v="No"/>
        <s v="Yes"/>
      </sharedItems>
    </cacheField>
    <cacheField name="Average of Discount" numFmtId="0">
      <sharedItems containsSemiMixedTypes="0" containsString="0" containsNumber="1" minValue="0" maxValue="10"/>
    </cacheField>
  </cacheFields>
  <extLst>
    <ext xmlns:x14="http://schemas.microsoft.com/office/spreadsheetml/2009/9/main" uri="{725AE2AE-9491-48be-B2B4-4EB974FC3084}">
      <x14:pivotCacheDefinition pivotCacheId="247817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148"/>
    <n v="163"/>
    <n v="5"/>
    <n v="283"/>
    <n v="44714"/>
    <x v="0"/>
    <n v="4.8780487804878048"/>
  </r>
  <r>
    <x v="0"/>
    <x v="0"/>
    <x v="1"/>
    <n v="81"/>
    <n v="86"/>
    <n v="10"/>
    <n v="284"/>
    <n v="21584"/>
    <x v="1"/>
    <n v="4.8765432098765435"/>
  </r>
  <r>
    <x v="1"/>
    <x v="1"/>
    <x v="2"/>
    <n v="138"/>
    <n v="143"/>
    <n v="10"/>
    <n v="69"/>
    <n v="9177"/>
    <x v="0"/>
    <n v="4.8214285714285712"/>
  </r>
  <r>
    <x v="2"/>
    <x v="2"/>
    <x v="0"/>
    <n v="127"/>
    <n v="127"/>
    <n v="10"/>
    <n v="83"/>
    <n v="9711"/>
    <x v="0"/>
    <n v="4.6212121212121211"/>
  </r>
  <r>
    <x v="3"/>
    <x v="1"/>
    <x v="3"/>
    <n v="34"/>
    <n v="49"/>
    <n v="10"/>
    <n v="169"/>
    <n v="6591"/>
    <x v="1"/>
    <n v="4.7272727272727275"/>
  </r>
  <r>
    <x v="4"/>
    <x v="3"/>
    <x v="0"/>
    <n v="149"/>
    <n v="159"/>
    <n v="0"/>
    <n v="246"/>
    <n v="39114"/>
    <x v="0"/>
    <n v="5.5357142857142856"/>
  </r>
  <r>
    <x v="0"/>
    <x v="0"/>
    <x v="4"/>
    <n v="82"/>
    <n v="87"/>
    <n v="0"/>
    <n v="254"/>
    <n v="22098"/>
    <x v="1"/>
    <n v="4.8125"/>
  </r>
  <r>
    <x v="4"/>
    <x v="3"/>
    <x v="4"/>
    <n v="46"/>
    <n v="51"/>
    <n v="5"/>
    <n v="179"/>
    <n v="8234"/>
    <x v="0"/>
    <n v="5.7407407407407405"/>
  </r>
  <r>
    <x v="3"/>
    <x v="1"/>
    <x v="5"/>
    <n v="137"/>
    <n v="137"/>
    <n v="10"/>
    <n v="268"/>
    <n v="34036"/>
    <x v="0"/>
    <n v="4.6296296296296298"/>
  </r>
  <r>
    <x v="5"/>
    <x v="4"/>
    <x v="2"/>
    <n v="196"/>
    <n v="201"/>
    <n v="0"/>
    <n v="59"/>
    <n v="11859"/>
    <x v="1"/>
    <n v="4.583333333333333"/>
  </r>
  <r>
    <x v="5"/>
    <x v="4"/>
    <x v="2"/>
    <n v="109"/>
    <n v="114"/>
    <n v="0"/>
    <n v="241"/>
    <n v="27474"/>
    <x v="0"/>
    <n v="4.7142857142857144"/>
  </r>
  <r>
    <x v="5"/>
    <x v="4"/>
    <x v="5"/>
    <n v="28"/>
    <n v="28"/>
    <n v="5"/>
    <n v="281"/>
    <n v="6463"/>
    <x v="0"/>
    <n v="4.8529411764705879"/>
  </r>
  <r>
    <x v="5"/>
    <x v="4"/>
    <x v="1"/>
    <n v="130"/>
    <n v="135"/>
    <n v="0"/>
    <n v="76"/>
    <n v="10260"/>
    <x v="0"/>
    <n v="4.8484848484848486"/>
  </r>
  <r>
    <x v="6"/>
    <x v="0"/>
    <x v="4"/>
    <n v="125"/>
    <n v="125"/>
    <n v="5"/>
    <n v="155"/>
    <n v="18600"/>
    <x v="0"/>
    <n v="4.8734177215189876"/>
  </r>
  <r>
    <x v="3"/>
    <x v="1"/>
    <x v="0"/>
    <n v="56"/>
    <n v="66"/>
    <n v="0"/>
    <n v="89"/>
    <n v="5874"/>
    <x v="0"/>
    <n v="4.5283018867924527"/>
  </r>
  <r>
    <x v="7"/>
    <x v="2"/>
    <x v="1"/>
    <n v="50"/>
    <n v="50"/>
    <n v="10"/>
    <n v="118"/>
    <n v="4720"/>
    <x v="1"/>
    <n v="4.5384615384615383"/>
  </r>
  <r>
    <x v="0"/>
    <x v="0"/>
    <x v="0"/>
    <n v="80"/>
    <n v="85"/>
    <n v="5"/>
    <n v="232"/>
    <n v="18560"/>
    <x v="0"/>
    <n v="4.8717948717948714"/>
  </r>
  <r>
    <x v="2"/>
    <x v="2"/>
    <x v="4"/>
    <n v="164"/>
    <n v="174"/>
    <n v="0"/>
    <n v="100"/>
    <n v="17400"/>
    <x v="1"/>
    <n v="4.453125"/>
  </r>
  <r>
    <x v="8"/>
    <x v="0"/>
    <x v="3"/>
    <n v="102"/>
    <n v="107"/>
    <n v="10"/>
    <n v="254"/>
    <n v="24638"/>
    <x v="0"/>
    <n v="4.8701298701298699"/>
  </r>
  <r>
    <x v="9"/>
    <x v="5"/>
    <x v="5"/>
    <n v="195"/>
    <n v="205"/>
    <n v="0"/>
    <n v="223"/>
    <n v="45715"/>
    <x v="0"/>
    <n v="5.625"/>
  </r>
  <r>
    <x v="2"/>
    <x v="2"/>
    <x v="2"/>
    <n v="154"/>
    <n v="159"/>
    <n v="5"/>
    <n v="253"/>
    <n v="38962"/>
    <x v="0"/>
    <n v="4.5238095238095237"/>
  </r>
  <r>
    <x v="4"/>
    <x v="3"/>
    <x v="1"/>
    <n v="120"/>
    <n v="135"/>
    <n v="0"/>
    <n v="291"/>
    <n v="39285"/>
    <x v="1"/>
    <n v="5.7692307692307692"/>
  </r>
  <r>
    <x v="8"/>
    <x v="0"/>
    <x v="3"/>
    <n v="144"/>
    <n v="144"/>
    <n v="5"/>
    <n v="186"/>
    <n v="25854"/>
    <x v="1"/>
    <n v="4.8026315789473681"/>
  </r>
  <r>
    <x v="5"/>
    <x v="4"/>
    <x v="5"/>
    <n v="118"/>
    <n v="123"/>
    <n v="5"/>
    <n v="124"/>
    <n v="14632"/>
    <x v="0"/>
    <n v="5"/>
  </r>
  <r>
    <x v="2"/>
    <x v="2"/>
    <x v="2"/>
    <n v="41"/>
    <n v="51"/>
    <n v="10"/>
    <n v="53"/>
    <n v="2173"/>
    <x v="1"/>
    <n v="4.5161290322580649"/>
  </r>
  <r>
    <x v="5"/>
    <x v="4"/>
    <x v="4"/>
    <n v="147"/>
    <n v="147"/>
    <n v="10"/>
    <n v="167"/>
    <n v="22879"/>
    <x v="0"/>
    <n v="5"/>
  </r>
  <r>
    <x v="1"/>
    <x v="1"/>
    <x v="1"/>
    <n v="111"/>
    <n v="121"/>
    <n v="10"/>
    <n v="227"/>
    <n v="25197"/>
    <x v="0"/>
    <n v="4.615384615384615"/>
  </r>
  <r>
    <x v="7"/>
    <x v="2"/>
    <x v="5"/>
    <n v="182"/>
    <n v="192"/>
    <n v="5"/>
    <n v="56"/>
    <n v="10472"/>
    <x v="1"/>
    <n v="4.4262295081967213"/>
  </r>
  <r>
    <x v="2"/>
    <x v="2"/>
    <x v="5"/>
    <n v="160"/>
    <n v="160"/>
    <n v="0"/>
    <n v="150"/>
    <n v="24000"/>
    <x v="0"/>
    <n v="4.416666666666667"/>
  </r>
  <r>
    <x v="0"/>
    <x v="0"/>
    <x v="3"/>
    <n v="175"/>
    <n v="175"/>
    <n v="0"/>
    <n v="210"/>
    <n v="36750"/>
    <x v="0"/>
    <n v="4.8"/>
  </r>
  <r>
    <x v="5"/>
    <x v="4"/>
    <x v="1"/>
    <n v="122"/>
    <n v="127"/>
    <n v="10"/>
    <n v="122"/>
    <n v="14274"/>
    <x v="0"/>
    <n v="4.833333333333333"/>
  </r>
  <r>
    <x v="5"/>
    <x v="4"/>
    <x v="2"/>
    <n v="124"/>
    <n v="139"/>
    <n v="5"/>
    <n v="58"/>
    <n v="7772"/>
    <x v="0"/>
    <n v="4.6551724137931032"/>
  </r>
  <r>
    <x v="6"/>
    <x v="0"/>
    <x v="1"/>
    <n v="159"/>
    <n v="164"/>
    <n v="10"/>
    <n v="83"/>
    <n v="12782"/>
    <x v="1"/>
    <n v="4.8648648648648649"/>
  </r>
  <r>
    <x v="4"/>
    <x v="3"/>
    <x v="2"/>
    <n v="142"/>
    <n v="157"/>
    <n v="10"/>
    <n v="196"/>
    <n v="28812"/>
    <x v="1"/>
    <n v="6"/>
  </r>
  <r>
    <x v="3"/>
    <x v="1"/>
    <x v="1"/>
    <n v="80"/>
    <n v="90"/>
    <n v="5"/>
    <n v="246"/>
    <n v="20910"/>
    <x v="0"/>
    <n v="4.5098039215686274"/>
  </r>
  <r>
    <x v="6"/>
    <x v="0"/>
    <x v="4"/>
    <n v="20"/>
    <n v="25"/>
    <n v="0"/>
    <n v="82"/>
    <n v="2050"/>
    <x v="0"/>
    <n v="4.7945205479452051"/>
  </r>
  <r>
    <x v="0"/>
    <x v="0"/>
    <x v="5"/>
    <n v="138"/>
    <n v="138"/>
    <n v="10"/>
    <n v="129"/>
    <n v="16512"/>
    <x v="0"/>
    <n v="4.8611111111111107"/>
  </r>
  <r>
    <x v="2"/>
    <x v="2"/>
    <x v="5"/>
    <n v="87"/>
    <n v="97"/>
    <n v="5"/>
    <n v="126"/>
    <n v="11592"/>
    <x v="0"/>
    <n v="4.4915254237288131"/>
  </r>
  <r>
    <x v="7"/>
    <x v="2"/>
    <x v="5"/>
    <n v="91"/>
    <n v="91"/>
    <n v="0"/>
    <n v="239"/>
    <n v="21749"/>
    <x v="0"/>
    <n v="4.4827586206896548"/>
  </r>
  <r>
    <x v="0"/>
    <x v="0"/>
    <x v="4"/>
    <n v="108"/>
    <n v="113"/>
    <n v="0"/>
    <n v="56"/>
    <n v="6328"/>
    <x v="0"/>
    <n v="4.788732394366197"/>
  </r>
  <r>
    <x v="7"/>
    <x v="2"/>
    <x v="1"/>
    <n v="188"/>
    <n v="198"/>
    <n v="10"/>
    <n v="81"/>
    <n v="15228"/>
    <x v="0"/>
    <n v="4.5614035087719298"/>
  </r>
  <r>
    <x v="9"/>
    <x v="5"/>
    <x v="5"/>
    <n v="74"/>
    <n v="74"/>
    <n v="0"/>
    <n v="68"/>
    <n v="5032"/>
    <x v="0"/>
    <n v="5.806451612903226"/>
  </r>
  <r>
    <x v="8"/>
    <x v="0"/>
    <x v="3"/>
    <n v="96"/>
    <n v="101"/>
    <n v="0"/>
    <n v="299"/>
    <n v="30199"/>
    <x v="0"/>
    <n v="4.8571428571428568"/>
  </r>
  <r>
    <x v="6"/>
    <x v="0"/>
    <x v="0"/>
    <n v="177"/>
    <n v="187"/>
    <n v="5"/>
    <n v="143"/>
    <n v="26026"/>
    <x v="0"/>
    <n v="4.9275362318840576"/>
  </r>
  <r>
    <x v="7"/>
    <x v="2"/>
    <x v="5"/>
    <n v="191"/>
    <n v="201"/>
    <n v="10"/>
    <n v="73"/>
    <n v="13943"/>
    <x v="1"/>
    <n v="4.4642857142857144"/>
  </r>
  <r>
    <x v="1"/>
    <x v="1"/>
    <x v="3"/>
    <n v="128"/>
    <n v="143"/>
    <n v="0"/>
    <n v="231"/>
    <n v="33033"/>
    <x v="1"/>
    <n v="4.5"/>
  </r>
  <r>
    <x v="1"/>
    <x v="1"/>
    <x v="3"/>
    <n v="118"/>
    <n v="128"/>
    <n v="5"/>
    <n v="287"/>
    <n v="35301"/>
    <x v="0"/>
    <n v="4.591836734693878"/>
  </r>
  <r>
    <x v="9"/>
    <x v="5"/>
    <x v="5"/>
    <n v="123"/>
    <n v="123"/>
    <n v="0"/>
    <n v="207"/>
    <n v="25461"/>
    <x v="1"/>
    <n v="6"/>
  </r>
  <r>
    <x v="2"/>
    <x v="2"/>
    <x v="4"/>
    <n v="86"/>
    <n v="86"/>
    <n v="0"/>
    <n v="198"/>
    <n v="17028"/>
    <x v="0"/>
    <n v="4.3636363636363633"/>
  </r>
  <r>
    <x v="7"/>
    <x v="2"/>
    <x v="2"/>
    <n v="176"/>
    <n v="186"/>
    <n v="0"/>
    <n v="171"/>
    <n v="31806"/>
    <x v="0"/>
    <n v="4.4444444444444446"/>
  </r>
  <r>
    <x v="1"/>
    <x v="1"/>
    <x v="1"/>
    <n v="137"/>
    <n v="147"/>
    <n v="10"/>
    <n v="52"/>
    <n v="7124"/>
    <x v="0"/>
    <n v="4.583333333333333"/>
  </r>
  <r>
    <x v="8"/>
    <x v="0"/>
    <x v="1"/>
    <n v="62"/>
    <n v="72"/>
    <n v="5"/>
    <n v="130"/>
    <n v="8710"/>
    <x v="0"/>
    <n v="4.9264705882352944"/>
  </r>
  <r>
    <x v="7"/>
    <x v="2"/>
    <x v="1"/>
    <n v="80"/>
    <n v="90"/>
    <n v="10"/>
    <n v="226"/>
    <n v="18080"/>
    <x v="1"/>
    <n v="4.5283018867924527"/>
  </r>
  <r>
    <x v="4"/>
    <x v="3"/>
    <x v="5"/>
    <n v="37"/>
    <n v="37"/>
    <n v="5"/>
    <n v="209"/>
    <n v="6688"/>
    <x v="0"/>
    <n v="5.833333333333333"/>
  </r>
  <r>
    <x v="3"/>
    <x v="1"/>
    <x v="3"/>
    <n v="45"/>
    <n v="45"/>
    <n v="5"/>
    <n v="94"/>
    <n v="3760"/>
    <x v="0"/>
    <n v="4.4680851063829783"/>
  </r>
  <r>
    <x v="3"/>
    <x v="1"/>
    <x v="0"/>
    <n v="68"/>
    <n v="83"/>
    <n v="5"/>
    <n v="101"/>
    <n v="7878"/>
    <x v="1"/>
    <n v="4.4565217391304346"/>
  </r>
  <r>
    <x v="5"/>
    <x v="4"/>
    <x v="2"/>
    <n v="182"/>
    <n v="197"/>
    <n v="0"/>
    <n v="294"/>
    <n v="57918"/>
    <x v="0"/>
    <n v="4.6428571428571432"/>
  </r>
  <r>
    <x v="6"/>
    <x v="0"/>
    <x v="0"/>
    <n v="188"/>
    <n v="203"/>
    <n v="10"/>
    <n v="279"/>
    <n v="53847"/>
    <x v="0"/>
    <n v="4.9253731343283578"/>
  </r>
  <r>
    <x v="2"/>
    <x v="2"/>
    <x v="0"/>
    <n v="135"/>
    <n v="140"/>
    <n v="5"/>
    <n v="162"/>
    <n v="21870"/>
    <x v="0"/>
    <n v="4.4230769230769234"/>
  </r>
  <r>
    <x v="4"/>
    <x v="3"/>
    <x v="2"/>
    <n v="193"/>
    <n v="193"/>
    <n v="10"/>
    <n v="159"/>
    <n v="29097"/>
    <x v="0"/>
    <n v="5.8695652173913047"/>
  </r>
  <r>
    <x v="8"/>
    <x v="0"/>
    <x v="5"/>
    <n v="150"/>
    <n v="165"/>
    <n v="0"/>
    <n v="179"/>
    <n v="29535"/>
    <x v="0"/>
    <n v="4.8484848484848486"/>
  </r>
  <r>
    <x v="3"/>
    <x v="1"/>
    <x v="2"/>
    <n v="160"/>
    <n v="165"/>
    <n v="0"/>
    <n v="244"/>
    <n v="40260"/>
    <x v="0"/>
    <n v="4.4444444444444446"/>
  </r>
  <r>
    <x v="6"/>
    <x v="0"/>
    <x v="5"/>
    <n v="123"/>
    <n v="138"/>
    <n v="0"/>
    <n v="174"/>
    <n v="24012"/>
    <x v="1"/>
    <n v="4.9230769230769234"/>
  </r>
  <r>
    <x v="4"/>
    <x v="3"/>
    <x v="2"/>
    <n v="99"/>
    <n v="104"/>
    <n v="0"/>
    <n v="211"/>
    <n v="21944"/>
    <x v="0"/>
    <n v="5.6818181818181817"/>
  </r>
  <r>
    <x v="7"/>
    <x v="2"/>
    <x v="0"/>
    <n v="140"/>
    <n v="140"/>
    <n v="10"/>
    <n v="269"/>
    <n v="34970"/>
    <x v="0"/>
    <n v="4.4117647058823533"/>
  </r>
  <r>
    <x v="2"/>
    <x v="2"/>
    <x v="2"/>
    <n v="185"/>
    <n v="185"/>
    <n v="10"/>
    <n v="200"/>
    <n v="35000"/>
    <x v="0"/>
    <n v="4.3"/>
  </r>
  <r>
    <x v="0"/>
    <x v="0"/>
    <x v="3"/>
    <n v="172"/>
    <n v="172"/>
    <n v="10"/>
    <n v="132"/>
    <n v="21384"/>
    <x v="0"/>
    <n v="5"/>
  </r>
  <r>
    <x v="8"/>
    <x v="0"/>
    <x v="4"/>
    <n v="139"/>
    <n v="144"/>
    <n v="0"/>
    <n v="253"/>
    <n v="36432"/>
    <x v="1"/>
    <n v="4.9206349206349209"/>
  </r>
  <r>
    <x v="8"/>
    <x v="0"/>
    <x v="5"/>
    <n v="180"/>
    <n v="190"/>
    <n v="10"/>
    <n v="156"/>
    <n v="28080"/>
    <x v="1"/>
    <n v="5"/>
  </r>
  <r>
    <x v="3"/>
    <x v="1"/>
    <x v="1"/>
    <n v="155"/>
    <n v="165"/>
    <n v="10"/>
    <n v="74"/>
    <n v="11470"/>
    <x v="0"/>
    <n v="4.5454545454545459"/>
  </r>
  <r>
    <x v="3"/>
    <x v="1"/>
    <x v="1"/>
    <n v="105"/>
    <n v="105"/>
    <n v="5"/>
    <n v="295"/>
    <n v="29500"/>
    <x v="1"/>
    <n v="4.4186046511627906"/>
  </r>
  <r>
    <x v="5"/>
    <x v="4"/>
    <x v="5"/>
    <n v="49"/>
    <n v="49"/>
    <n v="10"/>
    <n v="99"/>
    <n v="3861"/>
    <x v="1"/>
    <n v="4.8148148148148149"/>
  </r>
  <r>
    <x v="2"/>
    <x v="2"/>
    <x v="4"/>
    <n v="53"/>
    <n v="63"/>
    <n v="0"/>
    <n v="179"/>
    <n v="11277"/>
    <x v="0"/>
    <n v="4.1836734693877551"/>
  </r>
  <r>
    <x v="7"/>
    <x v="2"/>
    <x v="5"/>
    <n v="99"/>
    <n v="109"/>
    <n v="0"/>
    <n v="297"/>
    <n v="32373"/>
    <x v="1"/>
    <n v="4.270833333333333"/>
  </r>
  <r>
    <x v="3"/>
    <x v="1"/>
    <x v="0"/>
    <n v="159"/>
    <n v="174"/>
    <n v="5"/>
    <n v="138"/>
    <n v="23322"/>
    <x v="1"/>
    <n v="4.4047619047619051"/>
  </r>
  <r>
    <x v="9"/>
    <x v="5"/>
    <x v="2"/>
    <n v="191"/>
    <n v="191"/>
    <n v="10"/>
    <n v="211"/>
    <n v="38191"/>
    <x v="0"/>
    <n v="6.2068965517241379"/>
  </r>
  <r>
    <x v="2"/>
    <x v="2"/>
    <x v="1"/>
    <n v="186"/>
    <n v="186"/>
    <n v="10"/>
    <n v="66"/>
    <n v="11616"/>
    <x v="1"/>
    <n v="4.3617021276595747"/>
  </r>
  <r>
    <x v="1"/>
    <x v="1"/>
    <x v="1"/>
    <n v="114"/>
    <n v="114"/>
    <n v="10"/>
    <n v="283"/>
    <n v="29432"/>
    <x v="0"/>
    <n v="4.3902439024390247"/>
  </r>
  <r>
    <x v="0"/>
    <x v="0"/>
    <x v="2"/>
    <n v="20"/>
    <n v="35"/>
    <n v="10"/>
    <n v="257"/>
    <n v="6425"/>
    <x v="1"/>
    <n v="4.918032786885246"/>
  </r>
  <r>
    <x v="7"/>
    <x v="2"/>
    <x v="2"/>
    <n v="177"/>
    <n v="187"/>
    <n v="5"/>
    <n v="299"/>
    <n v="54418"/>
    <x v="0"/>
    <n v="4.2391304347826084"/>
  </r>
  <r>
    <x v="8"/>
    <x v="0"/>
    <x v="1"/>
    <n v="151"/>
    <n v="156"/>
    <n v="0"/>
    <n v="52"/>
    <n v="8112"/>
    <x v="1"/>
    <n v="4.833333333333333"/>
  </r>
  <r>
    <x v="6"/>
    <x v="0"/>
    <x v="2"/>
    <n v="32"/>
    <n v="47"/>
    <n v="10"/>
    <n v="147"/>
    <n v="5439"/>
    <x v="0"/>
    <n v="4.9152542372881358"/>
  </r>
  <r>
    <x v="7"/>
    <x v="2"/>
    <x v="0"/>
    <n v="55"/>
    <n v="60"/>
    <n v="5"/>
    <n v="208"/>
    <n v="11440"/>
    <x v="0"/>
    <n v="4.2222222222222223"/>
  </r>
  <r>
    <x v="5"/>
    <x v="4"/>
    <x v="4"/>
    <n v="37"/>
    <n v="52"/>
    <n v="10"/>
    <n v="163"/>
    <n v="6846"/>
    <x v="0"/>
    <n v="4.615384615384615"/>
  </r>
  <r>
    <x v="5"/>
    <x v="4"/>
    <x v="2"/>
    <n v="170"/>
    <n v="175"/>
    <n v="5"/>
    <n v="294"/>
    <n v="49980"/>
    <x v="0"/>
    <n v="4.4000000000000004"/>
  </r>
  <r>
    <x v="1"/>
    <x v="1"/>
    <x v="1"/>
    <n v="29"/>
    <n v="29"/>
    <n v="0"/>
    <n v="132"/>
    <n v="3828"/>
    <x v="0"/>
    <n v="4.25"/>
  </r>
  <r>
    <x v="6"/>
    <x v="0"/>
    <x v="0"/>
    <n v="57"/>
    <n v="57"/>
    <n v="5"/>
    <n v="247"/>
    <n v="12844"/>
    <x v="0"/>
    <n v="4.8275862068965516"/>
  </r>
  <r>
    <x v="6"/>
    <x v="0"/>
    <x v="4"/>
    <n v="179"/>
    <n v="194"/>
    <n v="10"/>
    <n v="257"/>
    <n v="47288"/>
    <x v="0"/>
    <n v="4.8245614035087723"/>
  </r>
  <r>
    <x v="3"/>
    <x v="1"/>
    <x v="1"/>
    <n v="63"/>
    <n v="73"/>
    <n v="5"/>
    <n v="67"/>
    <n v="4556"/>
    <x v="0"/>
    <n v="4.3589743589743586"/>
  </r>
  <r>
    <x v="3"/>
    <x v="1"/>
    <x v="2"/>
    <n v="136"/>
    <n v="136"/>
    <n v="10"/>
    <n v="286"/>
    <n v="36036"/>
    <x v="0"/>
    <n v="4.3421052631578947"/>
  </r>
  <r>
    <x v="3"/>
    <x v="1"/>
    <x v="2"/>
    <n v="165"/>
    <n v="175"/>
    <n v="5"/>
    <n v="211"/>
    <n v="35870"/>
    <x v="0"/>
    <n v="4.1891891891891895"/>
  </r>
  <r>
    <x v="7"/>
    <x v="2"/>
    <x v="5"/>
    <n v="50"/>
    <n v="60"/>
    <n v="10"/>
    <n v="270"/>
    <n v="13500"/>
    <x v="0"/>
    <n v="4.2045454545454541"/>
  </r>
  <r>
    <x v="9"/>
    <x v="5"/>
    <x v="5"/>
    <n v="180"/>
    <n v="185"/>
    <n v="10"/>
    <n v="163"/>
    <n v="28525"/>
    <x v="0"/>
    <n v="6.0714285714285712"/>
  </r>
  <r>
    <x v="2"/>
    <x v="2"/>
    <x v="2"/>
    <n v="32"/>
    <n v="47"/>
    <n v="10"/>
    <n v="120"/>
    <n v="4440"/>
    <x v="0"/>
    <n v="4.0697674418604652"/>
  </r>
  <r>
    <x v="1"/>
    <x v="1"/>
    <x v="1"/>
    <n v="97"/>
    <n v="112"/>
    <n v="0"/>
    <n v="187"/>
    <n v="20944"/>
    <x v="0"/>
    <n v="4.166666666666667"/>
  </r>
  <r>
    <x v="2"/>
    <x v="2"/>
    <x v="0"/>
    <n v="181"/>
    <n v="186"/>
    <n v="0"/>
    <n v="54"/>
    <n v="10044"/>
    <x v="0"/>
    <n v="3.9285714285714284"/>
  </r>
  <r>
    <x v="2"/>
    <x v="2"/>
    <x v="3"/>
    <n v="184"/>
    <n v="194"/>
    <n v="10"/>
    <n v="86"/>
    <n v="15824"/>
    <x v="0"/>
    <n v="4.024390243902439"/>
  </r>
  <r>
    <x v="2"/>
    <x v="2"/>
    <x v="1"/>
    <n v="57"/>
    <n v="62"/>
    <n v="10"/>
    <n v="236"/>
    <n v="12272"/>
    <x v="0"/>
    <n v="3.875"/>
  </r>
  <r>
    <x v="7"/>
    <x v="2"/>
    <x v="4"/>
    <n v="50"/>
    <n v="50"/>
    <n v="5"/>
    <n v="163"/>
    <n v="7335"/>
    <x v="1"/>
    <n v="3.7179487179487181"/>
  </r>
  <r>
    <x v="6"/>
    <x v="0"/>
    <x v="2"/>
    <n v="115"/>
    <n v="120"/>
    <n v="0"/>
    <n v="122"/>
    <n v="14640"/>
    <x v="0"/>
    <n v="4.7321428571428568"/>
  </r>
  <r>
    <x v="1"/>
    <x v="1"/>
    <x v="4"/>
    <n v="120"/>
    <n v="135"/>
    <n v="0"/>
    <n v="138"/>
    <n v="18630"/>
    <x v="1"/>
    <n v="4.2857142857142856"/>
  </r>
  <r>
    <x v="2"/>
    <x v="2"/>
    <x v="0"/>
    <n v="125"/>
    <n v="125"/>
    <n v="0"/>
    <n v="146"/>
    <n v="18250"/>
    <x v="1"/>
    <n v="3.6842105263157894"/>
  </r>
  <r>
    <x v="8"/>
    <x v="0"/>
    <x v="4"/>
    <n v="148"/>
    <n v="153"/>
    <n v="0"/>
    <n v="171"/>
    <n v="26163"/>
    <x v="1"/>
    <n v="4.8181818181818183"/>
  </r>
  <r>
    <x v="1"/>
    <x v="1"/>
    <x v="2"/>
    <n v="73"/>
    <n v="78"/>
    <n v="5"/>
    <n v="82"/>
    <n v="5986"/>
    <x v="0"/>
    <n v="4.4117647058823533"/>
  </r>
  <r>
    <x v="5"/>
    <x v="4"/>
    <x v="0"/>
    <n v="31"/>
    <n v="46"/>
    <n v="10"/>
    <n v="109"/>
    <n v="3924"/>
    <x v="0"/>
    <n v="4.375"/>
  </r>
  <r>
    <x v="4"/>
    <x v="3"/>
    <x v="3"/>
    <n v="199"/>
    <n v="204"/>
    <n v="0"/>
    <n v="269"/>
    <n v="54876"/>
    <x v="0"/>
    <n v="5.9523809523809526"/>
  </r>
  <r>
    <x v="2"/>
    <x v="2"/>
    <x v="2"/>
    <n v="184"/>
    <n v="199"/>
    <n v="5"/>
    <n v="69"/>
    <n v="13386"/>
    <x v="0"/>
    <n v="3.7837837837837838"/>
  </r>
  <r>
    <x v="9"/>
    <x v="5"/>
    <x v="2"/>
    <n v="151"/>
    <n v="151"/>
    <n v="0"/>
    <n v="57"/>
    <n v="8607"/>
    <x v="0"/>
    <n v="5.9259259259259256"/>
  </r>
  <r>
    <x v="1"/>
    <x v="1"/>
    <x v="2"/>
    <n v="23"/>
    <n v="28"/>
    <n v="5"/>
    <n v="276"/>
    <n v="6348"/>
    <x v="1"/>
    <n v="4.3939393939393936"/>
  </r>
  <r>
    <x v="7"/>
    <x v="2"/>
    <x v="3"/>
    <n v="83"/>
    <n v="93"/>
    <n v="10"/>
    <n v="148"/>
    <n v="12284"/>
    <x v="0"/>
    <n v="3.75"/>
  </r>
  <r>
    <x v="2"/>
    <x v="2"/>
    <x v="4"/>
    <n v="138"/>
    <n v="153"/>
    <n v="10"/>
    <n v="182"/>
    <n v="26026"/>
    <x v="0"/>
    <n v="3.5714285714285716"/>
  </r>
  <r>
    <x v="6"/>
    <x v="0"/>
    <x v="4"/>
    <n v="116"/>
    <n v="131"/>
    <n v="10"/>
    <n v="283"/>
    <n v="34243"/>
    <x v="0"/>
    <n v="4.9074074074074074"/>
  </r>
  <r>
    <x v="0"/>
    <x v="0"/>
    <x v="0"/>
    <n v="98"/>
    <n v="113"/>
    <n v="10"/>
    <n v="233"/>
    <n v="23999"/>
    <x v="0"/>
    <n v="4.8113207547169807"/>
  </r>
  <r>
    <x v="6"/>
    <x v="0"/>
    <x v="3"/>
    <n v="176"/>
    <n v="186"/>
    <n v="0"/>
    <n v="150"/>
    <n v="27900"/>
    <x v="0"/>
    <n v="4.7115384615384617"/>
  </r>
  <r>
    <x v="9"/>
    <x v="5"/>
    <x v="2"/>
    <n v="65"/>
    <n v="75"/>
    <n v="5"/>
    <n v="168"/>
    <n v="11760"/>
    <x v="0"/>
    <n v="6.1538461538461542"/>
  </r>
  <r>
    <x v="2"/>
    <x v="2"/>
    <x v="2"/>
    <n v="48"/>
    <n v="53"/>
    <n v="0"/>
    <n v="192"/>
    <n v="10176"/>
    <x v="0"/>
    <n v="3.3823529411764706"/>
  </r>
  <r>
    <x v="7"/>
    <x v="2"/>
    <x v="1"/>
    <n v="101"/>
    <n v="101"/>
    <n v="5"/>
    <n v="294"/>
    <n v="28224"/>
    <x v="1"/>
    <n v="3.4848484848484849"/>
  </r>
  <r>
    <x v="8"/>
    <x v="0"/>
    <x v="4"/>
    <n v="75"/>
    <n v="90"/>
    <n v="10"/>
    <n v="55"/>
    <n v="4400"/>
    <x v="0"/>
    <n v="4.8039215686274508"/>
  </r>
  <r>
    <x v="0"/>
    <x v="0"/>
    <x v="4"/>
    <n v="132"/>
    <n v="132"/>
    <n v="0"/>
    <n v="255"/>
    <n v="33660"/>
    <x v="0"/>
    <n v="4.7"/>
  </r>
  <r>
    <x v="8"/>
    <x v="0"/>
    <x v="2"/>
    <n v="140"/>
    <n v="155"/>
    <n v="10"/>
    <n v="85"/>
    <n v="12325"/>
    <x v="0"/>
    <n v="4.795918367346939"/>
  </r>
  <r>
    <x v="9"/>
    <x v="5"/>
    <x v="0"/>
    <n v="87"/>
    <n v="87"/>
    <n v="10"/>
    <n v="199"/>
    <n v="15323"/>
    <x v="0"/>
    <n v="6.2"/>
  </r>
  <r>
    <x v="8"/>
    <x v="0"/>
    <x v="2"/>
    <n v="187"/>
    <n v="187"/>
    <n v="0"/>
    <n v="131"/>
    <n v="24497"/>
    <x v="0"/>
    <n v="4.6875"/>
  </r>
  <r>
    <x v="4"/>
    <x v="3"/>
    <x v="4"/>
    <n v="156"/>
    <n v="166"/>
    <n v="10"/>
    <n v="144"/>
    <n v="22464"/>
    <x v="0"/>
    <n v="6.25"/>
  </r>
  <r>
    <x v="5"/>
    <x v="4"/>
    <x v="4"/>
    <n v="174"/>
    <n v="189"/>
    <n v="5"/>
    <n v="162"/>
    <n v="29808"/>
    <x v="0"/>
    <n v="4.1304347826086953"/>
  </r>
  <r>
    <x v="4"/>
    <x v="3"/>
    <x v="4"/>
    <n v="135"/>
    <n v="145"/>
    <n v="10"/>
    <n v="71"/>
    <n v="9585"/>
    <x v="0"/>
    <n v="6.0526315789473681"/>
  </r>
  <r>
    <x v="9"/>
    <x v="5"/>
    <x v="2"/>
    <n v="77"/>
    <n v="92"/>
    <n v="10"/>
    <n v="50"/>
    <n v="4100"/>
    <x v="0"/>
    <n v="6.041666666666667"/>
  </r>
  <r>
    <x v="7"/>
    <x v="2"/>
    <x v="5"/>
    <n v="80"/>
    <n v="90"/>
    <n v="5"/>
    <n v="249"/>
    <n v="21165"/>
    <x v="0"/>
    <n v="3.4375"/>
  </r>
  <r>
    <x v="9"/>
    <x v="5"/>
    <x v="2"/>
    <n v="84"/>
    <n v="84"/>
    <n v="10"/>
    <n v="272"/>
    <n v="20128"/>
    <x v="0"/>
    <n v="5.8695652173913047"/>
  </r>
  <r>
    <x v="5"/>
    <x v="4"/>
    <x v="5"/>
    <n v="94"/>
    <n v="94"/>
    <n v="5"/>
    <n v="219"/>
    <n v="19491"/>
    <x v="1"/>
    <n v="4.0909090909090908"/>
  </r>
  <r>
    <x v="5"/>
    <x v="4"/>
    <x v="4"/>
    <n v="88"/>
    <n v="103"/>
    <n v="0"/>
    <n v="237"/>
    <n v="24411"/>
    <x v="1"/>
    <n v="4.0476190476190474"/>
  </r>
  <r>
    <x v="4"/>
    <x v="3"/>
    <x v="1"/>
    <n v="169"/>
    <n v="184"/>
    <n v="10"/>
    <n v="267"/>
    <n v="46458"/>
    <x v="0"/>
    <n v="5.833333333333333"/>
  </r>
  <r>
    <x v="6"/>
    <x v="0"/>
    <x v="3"/>
    <n v="101"/>
    <n v="101"/>
    <n v="0"/>
    <n v="107"/>
    <n v="10807"/>
    <x v="0"/>
    <n v="4.7872340425531918"/>
  </r>
  <r>
    <x v="3"/>
    <x v="1"/>
    <x v="2"/>
    <n v="141"/>
    <n v="141"/>
    <n v="0"/>
    <n v="150"/>
    <n v="21150"/>
    <x v="1"/>
    <n v="4.375"/>
  </r>
  <r>
    <x v="3"/>
    <x v="1"/>
    <x v="2"/>
    <n v="78"/>
    <n v="93"/>
    <n v="0"/>
    <n v="255"/>
    <n v="23715"/>
    <x v="0"/>
    <n v="4.5161290322580649"/>
  </r>
  <r>
    <x v="0"/>
    <x v="0"/>
    <x v="0"/>
    <n v="181"/>
    <n v="186"/>
    <n v="5"/>
    <n v="88"/>
    <n v="15928"/>
    <x v="0"/>
    <n v="4.8913043478260869"/>
  </r>
  <r>
    <x v="8"/>
    <x v="0"/>
    <x v="0"/>
    <n v="134"/>
    <n v="144"/>
    <n v="0"/>
    <n v="206"/>
    <n v="29664"/>
    <x v="0"/>
    <n v="4.8888888888888893"/>
  </r>
  <r>
    <x v="2"/>
    <x v="2"/>
    <x v="5"/>
    <n v="147"/>
    <n v="152"/>
    <n v="10"/>
    <n v="122"/>
    <n v="17324"/>
    <x v="1"/>
    <n v="3.3870967741935485"/>
  </r>
  <r>
    <x v="9"/>
    <x v="5"/>
    <x v="1"/>
    <n v="27"/>
    <n v="42"/>
    <n v="10"/>
    <n v="296"/>
    <n v="9472"/>
    <x v="0"/>
    <n v="5.6818181818181817"/>
  </r>
  <r>
    <x v="9"/>
    <x v="5"/>
    <x v="3"/>
    <n v="97"/>
    <n v="107"/>
    <n v="0"/>
    <n v="55"/>
    <n v="5885"/>
    <x v="1"/>
    <n v="5.4761904761904763"/>
  </r>
  <r>
    <x v="7"/>
    <x v="2"/>
    <x v="4"/>
    <n v="183"/>
    <n v="183"/>
    <n v="0"/>
    <n v="132"/>
    <n v="24156"/>
    <x v="0"/>
    <n v="3.1666666666666665"/>
  </r>
  <r>
    <x v="7"/>
    <x v="2"/>
    <x v="5"/>
    <n v="187"/>
    <n v="202"/>
    <n v="0"/>
    <n v="124"/>
    <n v="25048"/>
    <x v="1"/>
    <n v="3.2758620689655173"/>
  </r>
  <r>
    <x v="8"/>
    <x v="0"/>
    <x v="0"/>
    <n v="64"/>
    <n v="64"/>
    <n v="10"/>
    <n v="87"/>
    <n v="4698"/>
    <x v="0"/>
    <n v="5"/>
  </r>
  <r>
    <x v="8"/>
    <x v="0"/>
    <x v="2"/>
    <n v="60"/>
    <n v="65"/>
    <n v="0"/>
    <n v="246"/>
    <n v="15990"/>
    <x v="1"/>
    <n v="4.8837209302325579"/>
  </r>
  <r>
    <x v="0"/>
    <x v="0"/>
    <x v="1"/>
    <n v="81"/>
    <n v="96"/>
    <n v="5"/>
    <n v="188"/>
    <n v="17108"/>
    <x v="0"/>
    <n v="5"/>
  </r>
  <r>
    <x v="2"/>
    <x v="2"/>
    <x v="3"/>
    <n v="48"/>
    <n v="63"/>
    <n v="0"/>
    <n v="52"/>
    <n v="3276"/>
    <x v="0"/>
    <n v="3.3928571428571428"/>
  </r>
  <r>
    <x v="2"/>
    <x v="2"/>
    <x v="4"/>
    <n v="44"/>
    <n v="44"/>
    <n v="5"/>
    <n v="161"/>
    <n v="6279"/>
    <x v="1"/>
    <n v="3.5185185185185186"/>
  </r>
  <r>
    <x v="4"/>
    <x v="3"/>
    <x v="3"/>
    <n v="173"/>
    <n v="188"/>
    <n v="5"/>
    <n v="86"/>
    <n v="15738"/>
    <x v="1"/>
    <n v="5.5882352941176467"/>
  </r>
  <r>
    <x v="5"/>
    <x v="4"/>
    <x v="4"/>
    <n v="42"/>
    <n v="42"/>
    <n v="10"/>
    <n v="110"/>
    <n v="3520"/>
    <x v="0"/>
    <n v="4.25"/>
  </r>
  <r>
    <x v="8"/>
    <x v="0"/>
    <x v="3"/>
    <n v="147"/>
    <n v="147"/>
    <n v="0"/>
    <n v="284"/>
    <n v="41748"/>
    <x v="0"/>
    <n v="5"/>
  </r>
  <r>
    <x v="4"/>
    <x v="3"/>
    <x v="3"/>
    <n v="44"/>
    <n v="44"/>
    <n v="10"/>
    <n v="103"/>
    <n v="3502"/>
    <x v="0"/>
    <n v="5.625"/>
  </r>
  <r>
    <x v="7"/>
    <x v="2"/>
    <x v="3"/>
    <n v="149"/>
    <n v="159"/>
    <n v="0"/>
    <n v="93"/>
    <n v="14787"/>
    <x v="0"/>
    <n v="3.4615384615384617"/>
  </r>
  <r>
    <x v="1"/>
    <x v="1"/>
    <x v="0"/>
    <n v="42"/>
    <n v="57"/>
    <n v="5"/>
    <n v="241"/>
    <n v="12532"/>
    <x v="0"/>
    <n v="4.666666666666667"/>
  </r>
  <r>
    <x v="4"/>
    <x v="3"/>
    <x v="3"/>
    <n v="134"/>
    <n v="134"/>
    <n v="5"/>
    <n v="82"/>
    <n v="10578"/>
    <x v="1"/>
    <n v="5.333333333333333"/>
  </r>
  <r>
    <x v="2"/>
    <x v="2"/>
    <x v="3"/>
    <n v="67"/>
    <n v="77"/>
    <n v="5"/>
    <n v="93"/>
    <n v="6696"/>
    <x v="0"/>
    <n v="3.6"/>
  </r>
  <r>
    <x v="4"/>
    <x v="3"/>
    <x v="5"/>
    <n v="198"/>
    <n v="198"/>
    <n v="10"/>
    <n v="172"/>
    <n v="32336"/>
    <x v="0"/>
    <n v="5.3571428571428568"/>
  </r>
  <r>
    <x v="9"/>
    <x v="5"/>
    <x v="4"/>
    <n v="141"/>
    <n v="151"/>
    <n v="5"/>
    <n v="65"/>
    <n v="9490"/>
    <x v="1"/>
    <n v="5.75"/>
  </r>
  <r>
    <x v="5"/>
    <x v="4"/>
    <x v="1"/>
    <n v="77"/>
    <n v="77"/>
    <n v="0"/>
    <n v="89"/>
    <n v="6853"/>
    <x v="0"/>
    <n v="3.9473684210526314"/>
  </r>
  <r>
    <x v="4"/>
    <x v="3"/>
    <x v="3"/>
    <n v="80"/>
    <n v="80"/>
    <n v="5"/>
    <n v="297"/>
    <n v="22275"/>
    <x v="0"/>
    <n v="5"/>
  </r>
  <r>
    <x v="6"/>
    <x v="0"/>
    <x v="0"/>
    <n v="128"/>
    <n v="128"/>
    <n v="5"/>
    <n v="263"/>
    <n v="32349"/>
    <x v="1"/>
    <n v="5.125"/>
  </r>
  <r>
    <x v="3"/>
    <x v="1"/>
    <x v="0"/>
    <n v="67"/>
    <n v="82"/>
    <n v="10"/>
    <n v="258"/>
    <n v="18576"/>
    <x v="0"/>
    <n v="4.6551724137931032"/>
  </r>
  <r>
    <x v="7"/>
    <x v="2"/>
    <x v="4"/>
    <n v="77"/>
    <n v="82"/>
    <n v="5"/>
    <n v="87"/>
    <n v="6699"/>
    <x v="0"/>
    <n v="3.5416666666666665"/>
  </r>
  <r>
    <x v="0"/>
    <x v="0"/>
    <x v="3"/>
    <n v="142"/>
    <n v="152"/>
    <n v="0"/>
    <n v="184"/>
    <n v="27968"/>
    <x v="0"/>
    <n v="5.1282051282051286"/>
  </r>
  <r>
    <x v="1"/>
    <x v="1"/>
    <x v="5"/>
    <n v="88"/>
    <n v="103"/>
    <n v="0"/>
    <n v="56"/>
    <n v="5768"/>
    <x v="0"/>
    <n v="4.4642857142857144"/>
  </r>
  <r>
    <x v="0"/>
    <x v="0"/>
    <x v="2"/>
    <n v="167"/>
    <n v="172"/>
    <n v="5"/>
    <n v="252"/>
    <n v="42084"/>
    <x v="0"/>
    <n v="5.2631578947368425"/>
  </r>
  <r>
    <x v="3"/>
    <x v="1"/>
    <x v="2"/>
    <n v="109"/>
    <n v="119"/>
    <n v="0"/>
    <n v="161"/>
    <n v="19159"/>
    <x v="0"/>
    <n v="4.6296296296296298"/>
  </r>
  <r>
    <x v="9"/>
    <x v="5"/>
    <x v="3"/>
    <n v="161"/>
    <n v="171"/>
    <n v="0"/>
    <n v="226"/>
    <n v="38646"/>
    <x v="0"/>
    <n v="5.7894736842105265"/>
  </r>
  <r>
    <x v="3"/>
    <x v="1"/>
    <x v="3"/>
    <n v="93"/>
    <n v="108"/>
    <n v="0"/>
    <n v="107"/>
    <n v="11556"/>
    <x v="0"/>
    <n v="4.8076923076923075"/>
  </r>
  <r>
    <x v="8"/>
    <x v="0"/>
    <x v="1"/>
    <n v="93"/>
    <n v="93"/>
    <n v="5"/>
    <n v="106"/>
    <n v="9328"/>
    <x v="1"/>
    <n v="5.2702702702702702"/>
  </r>
  <r>
    <x v="0"/>
    <x v="0"/>
    <x v="2"/>
    <n v="198"/>
    <n v="203"/>
    <n v="0"/>
    <n v="188"/>
    <n v="38164"/>
    <x v="1"/>
    <n v="5.2777777777777777"/>
  </r>
  <r>
    <x v="2"/>
    <x v="2"/>
    <x v="3"/>
    <n v="161"/>
    <n v="161"/>
    <n v="5"/>
    <n v="211"/>
    <n v="32916"/>
    <x v="0"/>
    <n v="3.4782608695652173"/>
  </r>
  <r>
    <x v="0"/>
    <x v="0"/>
    <x v="5"/>
    <n v="86"/>
    <n v="91"/>
    <n v="10"/>
    <n v="70"/>
    <n v="5670"/>
    <x v="0"/>
    <n v="5.4285714285714288"/>
  </r>
  <r>
    <x v="8"/>
    <x v="0"/>
    <x v="5"/>
    <n v="148"/>
    <n v="163"/>
    <n v="5"/>
    <n v="79"/>
    <n v="12482"/>
    <x v="1"/>
    <n v="5.2941176470588234"/>
  </r>
  <r>
    <x v="1"/>
    <x v="1"/>
    <x v="4"/>
    <n v="143"/>
    <n v="153"/>
    <n v="0"/>
    <n v="299"/>
    <n v="45747"/>
    <x v="1"/>
    <n v="5"/>
  </r>
  <r>
    <x v="8"/>
    <x v="0"/>
    <x v="3"/>
    <n v="71"/>
    <n v="81"/>
    <n v="0"/>
    <n v="61"/>
    <n v="4941"/>
    <x v="0"/>
    <n v="5.3030303030303028"/>
  </r>
  <r>
    <x v="9"/>
    <x v="5"/>
    <x v="1"/>
    <n v="151"/>
    <n v="151"/>
    <n v="10"/>
    <n v="219"/>
    <n v="30879"/>
    <x v="0"/>
    <n v="6.1111111111111107"/>
  </r>
  <r>
    <x v="8"/>
    <x v="0"/>
    <x v="1"/>
    <n v="196"/>
    <n v="201"/>
    <n v="10"/>
    <n v="112"/>
    <n v="21392"/>
    <x v="1"/>
    <n v="5.46875"/>
  </r>
  <r>
    <x v="2"/>
    <x v="2"/>
    <x v="3"/>
    <n v="160"/>
    <n v="175"/>
    <n v="0"/>
    <n v="56"/>
    <n v="9800"/>
    <x v="1"/>
    <n v="3.4090909090909092"/>
  </r>
  <r>
    <x v="5"/>
    <x v="4"/>
    <x v="3"/>
    <n v="115"/>
    <n v="120"/>
    <n v="0"/>
    <n v="226"/>
    <n v="27120"/>
    <x v="0"/>
    <n v="4.166666666666667"/>
  </r>
  <r>
    <x v="0"/>
    <x v="0"/>
    <x v="2"/>
    <n v="92"/>
    <n v="102"/>
    <n v="10"/>
    <n v="99"/>
    <n v="9108"/>
    <x v="1"/>
    <n v="5.32258064516129"/>
  </r>
  <r>
    <x v="9"/>
    <x v="5"/>
    <x v="5"/>
    <n v="107"/>
    <n v="112"/>
    <n v="5"/>
    <n v="117"/>
    <n v="12519"/>
    <x v="0"/>
    <n v="5.882352941176471"/>
  </r>
  <r>
    <x v="8"/>
    <x v="0"/>
    <x v="1"/>
    <n v="88"/>
    <n v="98"/>
    <n v="5"/>
    <n v="259"/>
    <n v="24087"/>
    <x v="0"/>
    <n v="5.166666666666667"/>
  </r>
  <r>
    <x v="2"/>
    <x v="2"/>
    <x v="1"/>
    <n v="113"/>
    <n v="113"/>
    <n v="0"/>
    <n v="114"/>
    <n v="12882"/>
    <x v="0"/>
    <n v="3.5714285714285716"/>
  </r>
  <r>
    <x v="1"/>
    <x v="1"/>
    <x v="4"/>
    <n v="54"/>
    <n v="54"/>
    <n v="5"/>
    <n v="141"/>
    <n v="6909"/>
    <x v="1"/>
    <n v="5.208333333333333"/>
  </r>
  <r>
    <x v="1"/>
    <x v="1"/>
    <x v="4"/>
    <n v="173"/>
    <n v="178"/>
    <n v="10"/>
    <n v="159"/>
    <n v="26712"/>
    <x v="0"/>
    <n v="5.2173913043478262"/>
  </r>
  <r>
    <x v="0"/>
    <x v="0"/>
    <x v="3"/>
    <n v="75"/>
    <n v="90"/>
    <n v="10"/>
    <n v="100"/>
    <n v="8000"/>
    <x v="1"/>
    <n v="5.1724137931034484"/>
  </r>
  <r>
    <x v="8"/>
    <x v="0"/>
    <x v="0"/>
    <n v="48"/>
    <n v="58"/>
    <n v="5"/>
    <n v="112"/>
    <n v="5936"/>
    <x v="0"/>
    <n v="5"/>
  </r>
  <r>
    <x v="6"/>
    <x v="0"/>
    <x v="5"/>
    <n v="34"/>
    <n v="44"/>
    <n v="0"/>
    <n v="284"/>
    <n v="12496"/>
    <x v="0"/>
    <n v="5"/>
  </r>
  <r>
    <x v="4"/>
    <x v="3"/>
    <x v="2"/>
    <n v="93"/>
    <n v="103"/>
    <n v="10"/>
    <n v="103"/>
    <n v="9579"/>
    <x v="0"/>
    <n v="5"/>
  </r>
  <r>
    <x v="2"/>
    <x v="2"/>
    <x v="1"/>
    <n v="55"/>
    <n v="55"/>
    <n v="0"/>
    <n v="271"/>
    <n v="14905"/>
    <x v="0"/>
    <n v="3.75"/>
  </r>
  <r>
    <x v="8"/>
    <x v="0"/>
    <x v="4"/>
    <n v="36"/>
    <n v="51"/>
    <n v="10"/>
    <n v="139"/>
    <n v="5699"/>
    <x v="0"/>
    <n v="5.1923076923076925"/>
  </r>
  <r>
    <x v="6"/>
    <x v="0"/>
    <x v="5"/>
    <n v="41"/>
    <n v="51"/>
    <n v="10"/>
    <n v="123"/>
    <n v="5043"/>
    <x v="1"/>
    <n v="5"/>
  </r>
  <r>
    <x v="2"/>
    <x v="2"/>
    <x v="2"/>
    <n v="162"/>
    <n v="172"/>
    <n v="5"/>
    <n v="184"/>
    <n v="30728"/>
    <x v="0"/>
    <n v="3.9473684210526314"/>
  </r>
  <r>
    <x v="2"/>
    <x v="2"/>
    <x v="1"/>
    <n v="146"/>
    <n v="151"/>
    <n v="0"/>
    <n v="273"/>
    <n v="41223"/>
    <x v="1"/>
    <n v="3.8888888888888888"/>
  </r>
  <r>
    <x v="3"/>
    <x v="1"/>
    <x v="1"/>
    <n v="41"/>
    <n v="41"/>
    <n v="10"/>
    <n v="152"/>
    <n v="4712"/>
    <x v="0"/>
    <n v="5"/>
  </r>
  <r>
    <x v="7"/>
    <x v="2"/>
    <x v="0"/>
    <n v="74"/>
    <n v="84"/>
    <n v="10"/>
    <n v="197"/>
    <n v="14578"/>
    <x v="0"/>
    <n v="4.117647058823529"/>
  </r>
  <r>
    <x v="5"/>
    <x v="4"/>
    <x v="0"/>
    <n v="153"/>
    <n v="163"/>
    <n v="5"/>
    <n v="143"/>
    <n v="22594"/>
    <x v="0"/>
    <n v="4.4117647058823533"/>
  </r>
  <r>
    <x v="7"/>
    <x v="2"/>
    <x v="4"/>
    <n v="147"/>
    <n v="157"/>
    <n v="5"/>
    <n v="133"/>
    <n v="20216"/>
    <x v="1"/>
    <n v="3.75"/>
  </r>
  <r>
    <x v="3"/>
    <x v="1"/>
    <x v="1"/>
    <n v="67"/>
    <n v="82"/>
    <n v="10"/>
    <n v="192"/>
    <n v="13824"/>
    <x v="0"/>
    <n v="4.7619047619047619"/>
  </r>
  <r>
    <x v="5"/>
    <x v="4"/>
    <x v="1"/>
    <n v="76"/>
    <n v="91"/>
    <n v="0"/>
    <n v="156"/>
    <n v="14196"/>
    <x v="0"/>
    <n v="4.375"/>
  </r>
  <r>
    <x v="3"/>
    <x v="1"/>
    <x v="4"/>
    <n v="131"/>
    <n v="146"/>
    <n v="5"/>
    <n v="87"/>
    <n v="12267"/>
    <x v="0"/>
    <n v="4.5"/>
  </r>
  <r>
    <x v="5"/>
    <x v="4"/>
    <x v="2"/>
    <n v="165"/>
    <n v="165"/>
    <n v="10"/>
    <n v="124"/>
    <n v="19220"/>
    <x v="0"/>
    <n v="4.666666666666667"/>
  </r>
  <r>
    <x v="1"/>
    <x v="1"/>
    <x v="2"/>
    <n v="143"/>
    <n v="148"/>
    <n v="10"/>
    <n v="60"/>
    <n v="8280"/>
    <x v="0"/>
    <n v="4.4736842105263159"/>
  </r>
  <r>
    <x v="3"/>
    <x v="1"/>
    <x v="1"/>
    <n v="49"/>
    <n v="49"/>
    <n v="5"/>
    <n v="60"/>
    <n v="2640"/>
    <x v="1"/>
    <n v="4.166666666666667"/>
  </r>
  <r>
    <x v="9"/>
    <x v="5"/>
    <x v="1"/>
    <n v="154"/>
    <n v="159"/>
    <n v="0"/>
    <n v="224"/>
    <n v="35616"/>
    <x v="0"/>
    <n v="5.9375"/>
  </r>
  <r>
    <x v="7"/>
    <x v="2"/>
    <x v="1"/>
    <n v="65"/>
    <n v="75"/>
    <n v="5"/>
    <n v="183"/>
    <n v="12810"/>
    <x v="0"/>
    <n v="3.6666666666666665"/>
  </r>
  <r>
    <x v="4"/>
    <x v="3"/>
    <x v="0"/>
    <n v="69"/>
    <n v="74"/>
    <n v="0"/>
    <n v="224"/>
    <n v="16576"/>
    <x v="0"/>
    <n v="4.5454545454545459"/>
  </r>
  <r>
    <x v="9"/>
    <x v="5"/>
    <x v="4"/>
    <n v="181"/>
    <n v="191"/>
    <n v="5"/>
    <n v="273"/>
    <n v="50778"/>
    <x v="1"/>
    <n v="6.333333333333333"/>
  </r>
  <r>
    <x v="7"/>
    <x v="2"/>
    <x v="3"/>
    <n v="30"/>
    <n v="45"/>
    <n v="5"/>
    <n v="262"/>
    <n v="10480"/>
    <x v="1"/>
    <n v="3.5714285714285716"/>
  </r>
  <r>
    <x v="0"/>
    <x v="0"/>
    <x v="1"/>
    <n v="149"/>
    <n v="164"/>
    <n v="10"/>
    <n v="80"/>
    <n v="12320"/>
    <x v="1"/>
    <n v="4.791666666666667"/>
  </r>
  <r>
    <x v="0"/>
    <x v="0"/>
    <x v="5"/>
    <n v="177"/>
    <n v="192"/>
    <n v="0"/>
    <n v="253"/>
    <n v="48576"/>
    <x v="0"/>
    <n v="4.5652173913043477"/>
  </r>
  <r>
    <x v="3"/>
    <x v="1"/>
    <x v="0"/>
    <n v="76"/>
    <n v="76"/>
    <n v="10"/>
    <n v="240"/>
    <n v="15840"/>
    <x v="0"/>
    <n v="4.117647058823529"/>
  </r>
  <r>
    <x v="4"/>
    <x v="3"/>
    <x v="1"/>
    <n v="169"/>
    <n v="169"/>
    <n v="5"/>
    <n v="270"/>
    <n v="44280"/>
    <x v="0"/>
    <n v="5"/>
  </r>
  <r>
    <x v="4"/>
    <x v="3"/>
    <x v="1"/>
    <n v="166"/>
    <n v="171"/>
    <n v="0"/>
    <n v="130"/>
    <n v="22230"/>
    <x v="0"/>
    <n v="5"/>
  </r>
  <r>
    <x v="7"/>
    <x v="2"/>
    <x v="5"/>
    <n v="161"/>
    <n v="161"/>
    <n v="0"/>
    <n v="165"/>
    <n v="26565"/>
    <x v="0"/>
    <n v="3.4615384615384617"/>
  </r>
  <r>
    <x v="3"/>
    <x v="1"/>
    <x v="5"/>
    <n v="86"/>
    <n v="101"/>
    <n v="0"/>
    <n v="139"/>
    <n v="14039"/>
    <x v="1"/>
    <n v="3.75"/>
  </r>
  <r>
    <x v="5"/>
    <x v="4"/>
    <x v="3"/>
    <n v="138"/>
    <n v="153"/>
    <n v="10"/>
    <n v="213"/>
    <n v="30459"/>
    <x v="0"/>
    <n v="4.2857142857142856"/>
  </r>
  <r>
    <x v="2"/>
    <x v="2"/>
    <x v="1"/>
    <n v="129"/>
    <n v="139"/>
    <n v="0"/>
    <n v="69"/>
    <n v="9591"/>
    <x v="1"/>
    <n v="3.75"/>
  </r>
  <r>
    <x v="4"/>
    <x v="3"/>
    <x v="4"/>
    <n v="103"/>
    <n v="118"/>
    <n v="5"/>
    <n v="215"/>
    <n v="24295"/>
    <x v="0"/>
    <n v="5.625"/>
  </r>
  <r>
    <x v="5"/>
    <x v="4"/>
    <x v="3"/>
    <n v="43"/>
    <n v="58"/>
    <n v="5"/>
    <n v="137"/>
    <n v="7261"/>
    <x v="1"/>
    <n v="3.8461538461538463"/>
  </r>
  <r>
    <x v="7"/>
    <x v="2"/>
    <x v="2"/>
    <n v="135"/>
    <n v="140"/>
    <n v="0"/>
    <n v="179"/>
    <n v="25060"/>
    <x v="0"/>
    <n v="4.0909090909090908"/>
  </r>
  <r>
    <x v="5"/>
    <x v="4"/>
    <x v="3"/>
    <n v="167"/>
    <n v="182"/>
    <n v="5"/>
    <n v="180"/>
    <n v="31860"/>
    <x v="1"/>
    <n v="3.75"/>
  </r>
  <r>
    <x v="8"/>
    <x v="0"/>
    <x v="1"/>
    <n v="30"/>
    <n v="35"/>
    <n v="10"/>
    <n v="83"/>
    <n v="2075"/>
    <x v="0"/>
    <n v="4.7727272727272725"/>
  </r>
  <r>
    <x v="3"/>
    <x v="1"/>
    <x v="2"/>
    <n v="113"/>
    <n v="113"/>
    <n v="5"/>
    <n v="73"/>
    <n v="7884"/>
    <x v="1"/>
    <n v="4"/>
  </r>
  <r>
    <x v="1"/>
    <x v="1"/>
    <x v="5"/>
    <n v="27"/>
    <n v="27"/>
    <n v="0"/>
    <n v="116"/>
    <n v="3132"/>
    <x v="0"/>
    <n v="3.9285714285714284"/>
  </r>
  <r>
    <x v="9"/>
    <x v="5"/>
    <x v="3"/>
    <n v="187"/>
    <n v="197"/>
    <n v="10"/>
    <n v="94"/>
    <n v="17578"/>
    <x v="1"/>
    <n v="6.4285714285714288"/>
  </r>
  <r>
    <x v="9"/>
    <x v="5"/>
    <x v="4"/>
    <n v="136"/>
    <n v="151"/>
    <n v="5"/>
    <n v="119"/>
    <n v="17374"/>
    <x v="0"/>
    <n v="6.1538461538461542"/>
  </r>
  <r>
    <x v="4"/>
    <x v="3"/>
    <x v="5"/>
    <n v="23"/>
    <n v="28"/>
    <n v="10"/>
    <n v="287"/>
    <n v="5166"/>
    <x v="0"/>
    <n v="5.7142857142857144"/>
  </r>
  <r>
    <x v="9"/>
    <x v="5"/>
    <x v="2"/>
    <n v="159"/>
    <n v="164"/>
    <n v="0"/>
    <n v="91"/>
    <n v="14924"/>
    <x v="0"/>
    <n v="6.25"/>
  </r>
  <r>
    <x v="3"/>
    <x v="1"/>
    <x v="3"/>
    <n v="81"/>
    <n v="91"/>
    <n v="5"/>
    <n v="95"/>
    <n v="8170"/>
    <x v="0"/>
    <n v="4.2307692307692308"/>
  </r>
  <r>
    <x v="6"/>
    <x v="0"/>
    <x v="0"/>
    <n v="97"/>
    <n v="112"/>
    <n v="0"/>
    <n v="147"/>
    <n v="16464"/>
    <x v="0"/>
    <n v="4.5238095238095237"/>
  </r>
  <r>
    <x v="5"/>
    <x v="4"/>
    <x v="4"/>
    <n v="128"/>
    <n v="128"/>
    <n v="5"/>
    <n v="70"/>
    <n v="8610"/>
    <x v="0"/>
    <n v="3.6363636363636362"/>
  </r>
  <r>
    <x v="5"/>
    <x v="4"/>
    <x v="5"/>
    <n v="139"/>
    <n v="139"/>
    <n v="5"/>
    <n v="143"/>
    <n v="19162"/>
    <x v="1"/>
    <n v="3.5"/>
  </r>
  <r>
    <x v="0"/>
    <x v="0"/>
    <x v="1"/>
    <n v="131"/>
    <n v="141"/>
    <n v="10"/>
    <n v="154"/>
    <n v="20174"/>
    <x v="0"/>
    <n v="4.75"/>
  </r>
  <r>
    <x v="6"/>
    <x v="0"/>
    <x v="4"/>
    <n v="74"/>
    <n v="79"/>
    <n v="0"/>
    <n v="257"/>
    <n v="20303"/>
    <x v="0"/>
    <n v="4.4736842105263159"/>
  </r>
  <r>
    <x v="8"/>
    <x v="0"/>
    <x v="0"/>
    <n v="43"/>
    <n v="43"/>
    <n v="0"/>
    <n v="94"/>
    <n v="4042"/>
    <x v="1"/>
    <n v="4.7222222222222223"/>
  </r>
  <r>
    <x v="6"/>
    <x v="0"/>
    <x v="1"/>
    <n v="81"/>
    <n v="81"/>
    <n v="0"/>
    <n v="154"/>
    <n v="12474"/>
    <x v="1"/>
    <n v="5"/>
  </r>
  <r>
    <x v="4"/>
    <x v="3"/>
    <x v="5"/>
    <n v="59"/>
    <n v="64"/>
    <n v="10"/>
    <n v="111"/>
    <n v="5994"/>
    <x v="0"/>
    <n v="5"/>
  </r>
  <r>
    <x v="6"/>
    <x v="0"/>
    <x v="5"/>
    <n v="76"/>
    <n v="76"/>
    <n v="0"/>
    <n v="238"/>
    <n v="18088"/>
    <x v="0"/>
    <n v="5.3125"/>
  </r>
  <r>
    <x v="7"/>
    <x v="2"/>
    <x v="5"/>
    <n v="140"/>
    <n v="155"/>
    <n v="5"/>
    <n v="259"/>
    <n v="38850"/>
    <x v="0"/>
    <n v="4.5"/>
  </r>
  <r>
    <x v="8"/>
    <x v="0"/>
    <x v="2"/>
    <n v="63"/>
    <n v="78"/>
    <n v="10"/>
    <n v="106"/>
    <n v="7208"/>
    <x v="0"/>
    <n v="5.666666666666667"/>
  </r>
  <r>
    <x v="9"/>
    <x v="5"/>
    <x v="4"/>
    <n v="181"/>
    <n v="186"/>
    <n v="10"/>
    <n v="108"/>
    <n v="19008"/>
    <x v="0"/>
    <n v="6.8181818181818183"/>
  </r>
  <r>
    <x v="1"/>
    <x v="1"/>
    <x v="2"/>
    <n v="129"/>
    <n v="144"/>
    <n v="0"/>
    <n v="204"/>
    <n v="29376"/>
    <x v="0"/>
    <n v="4.166666666666667"/>
  </r>
  <r>
    <x v="2"/>
    <x v="2"/>
    <x v="4"/>
    <n v="24"/>
    <n v="29"/>
    <n v="5"/>
    <n v="137"/>
    <n v="3288"/>
    <x v="0"/>
    <n v="4.4444444444444446"/>
  </r>
  <r>
    <x v="7"/>
    <x v="2"/>
    <x v="0"/>
    <n v="82"/>
    <n v="87"/>
    <n v="5"/>
    <n v="77"/>
    <n v="6314"/>
    <x v="0"/>
    <n v="4.375"/>
  </r>
  <r>
    <x v="9"/>
    <x v="5"/>
    <x v="5"/>
    <n v="87"/>
    <n v="92"/>
    <n v="10"/>
    <n v="255"/>
    <n v="20910"/>
    <x v="0"/>
    <n v="6.5"/>
  </r>
  <r>
    <x v="7"/>
    <x v="2"/>
    <x v="4"/>
    <n v="174"/>
    <n v="184"/>
    <n v="0"/>
    <n v="129"/>
    <n v="23736"/>
    <x v="0"/>
    <n v="4.2857142857142856"/>
  </r>
  <r>
    <x v="4"/>
    <x v="3"/>
    <x v="0"/>
    <n v="63"/>
    <n v="63"/>
    <n v="0"/>
    <n v="178"/>
    <n v="11214"/>
    <x v="0"/>
    <n v="4"/>
  </r>
  <r>
    <x v="6"/>
    <x v="0"/>
    <x v="3"/>
    <n v="149"/>
    <n v="159"/>
    <n v="10"/>
    <n v="269"/>
    <n v="40081"/>
    <x v="0"/>
    <n v="5.3571428571428568"/>
  </r>
  <r>
    <x v="9"/>
    <x v="5"/>
    <x v="2"/>
    <n v="119"/>
    <n v="119"/>
    <n v="0"/>
    <n v="230"/>
    <n v="27370"/>
    <x v="0"/>
    <n v="6.1111111111111107"/>
  </r>
  <r>
    <x v="0"/>
    <x v="0"/>
    <x v="0"/>
    <n v="106"/>
    <n v="116"/>
    <n v="0"/>
    <n v="115"/>
    <n v="13340"/>
    <x v="1"/>
    <n v="5"/>
  </r>
  <r>
    <x v="7"/>
    <x v="2"/>
    <x v="2"/>
    <n v="85"/>
    <n v="90"/>
    <n v="5"/>
    <n v="195"/>
    <n v="16575"/>
    <x v="1"/>
    <n v="5"/>
  </r>
  <r>
    <x v="1"/>
    <x v="1"/>
    <x v="4"/>
    <n v="129"/>
    <n v="139"/>
    <n v="0"/>
    <n v="195"/>
    <n v="27105"/>
    <x v="1"/>
    <n v="4.5454545454545459"/>
  </r>
  <r>
    <x v="5"/>
    <x v="4"/>
    <x v="1"/>
    <n v="80"/>
    <n v="85"/>
    <n v="10"/>
    <n v="67"/>
    <n v="5025"/>
    <x v="1"/>
    <n v="3.3333333333333335"/>
  </r>
  <r>
    <x v="8"/>
    <x v="0"/>
    <x v="0"/>
    <n v="184"/>
    <n v="194"/>
    <n v="0"/>
    <n v="271"/>
    <n v="52574"/>
    <x v="1"/>
    <n v="5.416666666666667"/>
  </r>
  <r>
    <x v="6"/>
    <x v="0"/>
    <x v="0"/>
    <n v="163"/>
    <n v="178"/>
    <n v="5"/>
    <n v="214"/>
    <n v="37022"/>
    <x v="1"/>
    <n v="5.9090909090909092"/>
  </r>
  <r>
    <x v="7"/>
    <x v="2"/>
    <x v="0"/>
    <n v="175"/>
    <n v="190"/>
    <n v="5"/>
    <n v="288"/>
    <n v="53280"/>
    <x v="1"/>
    <n v="5"/>
  </r>
  <r>
    <x v="7"/>
    <x v="2"/>
    <x v="3"/>
    <n v="72"/>
    <n v="82"/>
    <n v="0"/>
    <n v="105"/>
    <n v="8610"/>
    <x v="0"/>
    <n v="5"/>
  </r>
  <r>
    <x v="5"/>
    <x v="4"/>
    <x v="4"/>
    <n v="160"/>
    <n v="165"/>
    <n v="0"/>
    <n v="157"/>
    <n v="25905"/>
    <x v="0"/>
    <n v="2.5"/>
  </r>
  <r>
    <x v="1"/>
    <x v="1"/>
    <x v="4"/>
    <n v="132"/>
    <n v="142"/>
    <n v="5"/>
    <n v="225"/>
    <n v="30825"/>
    <x v="0"/>
    <n v="5"/>
  </r>
  <r>
    <x v="9"/>
    <x v="5"/>
    <x v="2"/>
    <n v="69"/>
    <n v="69"/>
    <n v="10"/>
    <n v="243"/>
    <n v="14337"/>
    <x v="1"/>
    <n v="6.875"/>
  </r>
  <r>
    <x v="9"/>
    <x v="5"/>
    <x v="0"/>
    <n v="75"/>
    <n v="80"/>
    <n v="10"/>
    <n v="107"/>
    <n v="7490"/>
    <x v="0"/>
    <n v="6.4285714285714288"/>
  </r>
  <r>
    <x v="7"/>
    <x v="2"/>
    <x v="2"/>
    <n v="180"/>
    <n v="185"/>
    <n v="10"/>
    <n v="226"/>
    <n v="39550"/>
    <x v="1"/>
    <n v="6.666666666666667"/>
  </r>
  <r>
    <x v="1"/>
    <x v="1"/>
    <x v="2"/>
    <n v="147"/>
    <n v="152"/>
    <n v="5"/>
    <n v="105"/>
    <n v="15435"/>
    <x v="1"/>
    <n v="5"/>
  </r>
  <r>
    <x v="2"/>
    <x v="2"/>
    <x v="3"/>
    <n v="59"/>
    <n v="64"/>
    <n v="10"/>
    <n v="229"/>
    <n v="12366"/>
    <x v="0"/>
    <n v="5"/>
  </r>
  <r>
    <x v="3"/>
    <x v="1"/>
    <x v="4"/>
    <n v="113"/>
    <n v="128"/>
    <n v="5"/>
    <n v="90"/>
    <n v="11070"/>
    <x v="1"/>
    <n v="5"/>
  </r>
  <r>
    <x v="5"/>
    <x v="4"/>
    <x v="1"/>
    <n v="40"/>
    <n v="50"/>
    <n v="5"/>
    <n v="104"/>
    <n v="4680"/>
    <x v="0"/>
    <n v="2.8571428571428572"/>
  </r>
  <r>
    <x v="8"/>
    <x v="0"/>
    <x v="4"/>
    <n v="75"/>
    <n v="80"/>
    <n v="10"/>
    <n v="108"/>
    <n v="7560"/>
    <x v="0"/>
    <n v="6"/>
  </r>
  <r>
    <x v="5"/>
    <x v="4"/>
    <x v="2"/>
    <n v="26"/>
    <n v="36"/>
    <n v="0"/>
    <n v="184"/>
    <n v="6624"/>
    <x v="0"/>
    <n v="2.5"/>
  </r>
  <r>
    <x v="3"/>
    <x v="1"/>
    <x v="2"/>
    <n v="51"/>
    <n v="61"/>
    <n v="10"/>
    <n v="161"/>
    <n v="8211"/>
    <x v="0"/>
    <n v="5"/>
  </r>
  <r>
    <x v="8"/>
    <x v="0"/>
    <x v="4"/>
    <n v="101"/>
    <n v="111"/>
    <n v="0"/>
    <n v="85"/>
    <n v="9435"/>
    <x v="1"/>
    <n v="5.5555555555555554"/>
  </r>
  <r>
    <x v="9"/>
    <x v="5"/>
    <x v="2"/>
    <n v="175"/>
    <n v="190"/>
    <n v="5"/>
    <n v="80"/>
    <n v="14800"/>
    <x v="0"/>
    <n v="5.833333333333333"/>
  </r>
  <r>
    <x v="9"/>
    <x v="5"/>
    <x v="1"/>
    <n v="21"/>
    <n v="21"/>
    <n v="5"/>
    <n v="87"/>
    <n v="1392"/>
    <x v="0"/>
    <n v="6"/>
  </r>
  <r>
    <x v="5"/>
    <x v="4"/>
    <x v="0"/>
    <n v="117"/>
    <n v="132"/>
    <n v="0"/>
    <n v="129"/>
    <n v="17028"/>
    <x v="0"/>
    <n v="3"/>
  </r>
  <r>
    <x v="3"/>
    <x v="1"/>
    <x v="1"/>
    <n v="70"/>
    <n v="75"/>
    <n v="0"/>
    <n v="270"/>
    <n v="20250"/>
    <x v="0"/>
    <n v="4.166666666666667"/>
  </r>
  <r>
    <x v="1"/>
    <x v="1"/>
    <x v="4"/>
    <n v="107"/>
    <n v="107"/>
    <n v="10"/>
    <n v="193"/>
    <n v="18721"/>
    <x v="1"/>
    <n v="5"/>
  </r>
  <r>
    <x v="5"/>
    <x v="4"/>
    <x v="1"/>
    <n v="198"/>
    <n v="213"/>
    <n v="5"/>
    <n v="136"/>
    <n v="28288"/>
    <x v="0"/>
    <n v="3.75"/>
  </r>
  <r>
    <x v="8"/>
    <x v="0"/>
    <x v="1"/>
    <n v="161"/>
    <n v="161"/>
    <n v="0"/>
    <n v="188"/>
    <n v="30268"/>
    <x v="0"/>
    <n v="6.25"/>
  </r>
  <r>
    <x v="9"/>
    <x v="5"/>
    <x v="2"/>
    <n v="137"/>
    <n v="147"/>
    <n v="5"/>
    <n v="211"/>
    <n v="29962"/>
    <x v="0"/>
    <n v="6.25"/>
  </r>
  <r>
    <x v="5"/>
    <x v="4"/>
    <x v="2"/>
    <n v="45"/>
    <n v="55"/>
    <n v="10"/>
    <n v="84"/>
    <n v="3780"/>
    <x v="1"/>
    <n v="3.3333333333333335"/>
  </r>
  <r>
    <x v="9"/>
    <x v="5"/>
    <x v="4"/>
    <n v="191"/>
    <n v="206"/>
    <n v="10"/>
    <n v="297"/>
    <n v="58212"/>
    <x v="0"/>
    <n v="6.666666666666667"/>
  </r>
  <r>
    <x v="5"/>
    <x v="4"/>
    <x v="1"/>
    <n v="125"/>
    <n v="130"/>
    <n v="0"/>
    <n v="214"/>
    <n v="27820"/>
    <x v="0"/>
    <n v="0"/>
  </r>
  <r>
    <x v="4"/>
    <x v="3"/>
    <x v="3"/>
    <n v="171"/>
    <n v="186"/>
    <n v="5"/>
    <n v="60"/>
    <n v="10860"/>
    <x v="0"/>
    <n v="5"/>
  </r>
  <r>
    <x v="1"/>
    <x v="1"/>
    <x v="1"/>
    <n v="57"/>
    <n v="72"/>
    <n v="5"/>
    <n v="196"/>
    <n v="13132"/>
    <x v="1"/>
    <n v="3.75"/>
  </r>
  <r>
    <x v="8"/>
    <x v="0"/>
    <x v="1"/>
    <n v="56"/>
    <n v="56"/>
    <n v="10"/>
    <n v="251"/>
    <n v="11546"/>
    <x v="0"/>
    <n v="7.1428571428571432"/>
  </r>
  <r>
    <x v="3"/>
    <x v="1"/>
    <x v="4"/>
    <n v="70"/>
    <n v="70"/>
    <n v="0"/>
    <n v="218"/>
    <n v="15260"/>
    <x v="0"/>
    <n v="3.3333333333333335"/>
  </r>
  <r>
    <x v="3"/>
    <x v="1"/>
    <x v="5"/>
    <n v="57"/>
    <n v="67"/>
    <n v="0"/>
    <n v="131"/>
    <n v="8777"/>
    <x v="1"/>
    <n v="5"/>
  </r>
  <r>
    <x v="8"/>
    <x v="0"/>
    <x v="2"/>
    <n v="104"/>
    <n v="114"/>
    <n v="5"/>
    <n v="255"/>
    <n v="27795"/>
    <x v="0"/>
    <n v="6.666666666666667"/>
  </r>
  <r>
    <x v="7"/>
    <x v="2"/>
    <x v="0"/>
    <n v="82"/>
    <n v="87"/>
    <n v="0"/>
    <n v="180"/>
    <n v="15660"/>
    <x v="0"/>
    <n v="0"/>
  </r>
  <r>
    <x v="1"/>
    <x v="1"/>
    <x v="0"/>
    <n v="119"/>
    <n v="129"/>
    <n v="10"/>
    <n v="164"/>
    <n v="19516"/>
    <x v="0"/>
    <n v="10"/>
  </r>
  <r>
    <x v="8"/>
    <x v="0"/>
    <x v="0"/>
    <n v="48"/>
    <n v="58"/>
    <n v="10"/>
    <n v="244"/>
    <n v="11712"/>
    <x v="0"/>
    <n v="7"/>
  </r>
  <r>
    <x v="4"/>
    <x v="3"/>
    <x v="5"/>
    <n v="88"/>
    <n v="93"/>
    <n v="5"/>
    <n v="72"/>
    <n v="6336"/>
    <x v="1"/>
    <n v="5"/>
  </r>
  <r>
    <x v="9"/>
    <x v="5"/>
    <x v="1"/>
    <n v="32"/>
    <n v="32"/>
    <n v="0"/>
    <n v="67"/>
    <n v="2144"/>
    <x v="0"/>
    <n v="5"/>
  </r>
  <r>
    <x v="9"/>
    <x v="5"/>
    <x v="5"/>
    <n v="31"/>
    <n v="46"/>
    <n v="10"/>
    <n v="161"/>
    <n v="5796"/>
    <x v="0"/>
    <n v="10"/>
  </r>
  <r>
    <x v="5"/>
    <x v="4"/>
    <x v="1"/>
    <n v="125"/>
    <n v="140"/>
    <n v="0"/>
    <n v="283"/>
    <n v="39620"/>
    <x v="1"/>
    <n v="0"/>
  </r>
  <r>
    <x v="8"/>
    <x v="0"/>
    <x v="4"/>
    <n v="134"/>
    <n v="144"/>
    <n v="0"/>
    <n v="190"/>
    <n v="27360"/>
    <x v="1"/>
    <n v="6.25"/>
  </r>
  <r>
    <x v="0"/>
    <x v="0"/>
    <x v="1"/>
    <n v="198"/>
    <n v="198"/>
    <n v="5"/>
    <n v="52"/>
    <n v="10036"/>
    <x v="1"/>
    <n v="8.3333333333333339"/>
  </r>
  <r>
    <x v="4"/>
    <x v="3"/>
    <x v="2"/>
    <n v="131"/>
    <n v="146"/>
    <n v="10"/>
    <n v="146"/>
    <n v="19856"/>
    <x v="0"/>
    <n v="5"/>
  </r>
  <r>
    <x v="6"/>
    <x v="0"/>
    <x v="0"/>
    <n v="171"/>
    <n v="176"/>
    <n v="10"/>
    <n v="291"/>
    <n v="48306"/>
    <x v="0"/>
    <n v="10"/>
  </r>
  <r>
    <x v="4"/>
    <x v="3"/>
    <x v="5"/>
    <n v="94"/>
    <n v="99"/>
    <n v="0"/>
    <n v="124"/>
    <n v="12276"/>
    <x v="0"/>
    <n v="0"/>
  </r>
  <r>
    <x v="8"/>
    <x v="0"/>
    <x v="3"/>
    <n v="129"/>
    <n v="129"/>
    <n v="10"/>
    <n v="272"/>
    <n v="32368"/>
    <x v="0"/>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DBC6E-B176-4CBF-ADFD-2F5B79A59D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3:J6" firstHeaderRow="1" firstDataRow="1" firstDataCol="1"/>
  <pivotFields count="10">
    <pivotField showAll="0"/>
    <pivotField showAll="0"/>
    <pivotField showAll="0"/>
    <pivotField numFmtId="164" showAll="0"/>
    <pivotField numFmtId="164" showAll="0"/>
    <pivotField showAll="0"/>
    <pivotField showAll="0"/>
    <pivotField dataField="1" numFmtId="164" showAll="0"/>
    <pivotField axis="axisRow" showAll="0">
      <items count="3">
        <item x="0"/>
        <item x="1"/>
        <item t="default"/>
      </items>
    </pivotField>
    <pivotField showAll="0"/>
  </pivotFields>
  <rowFields count="1">
    <field x="8"/>
  </rowFields>
  <rowItems count="3">
    <i>
      <x/>
    </i>
    <i>
      <x v="1"/>
    </i>
    <i t="grand">
      <x/>
    </i>
  </rowItems>
  <colItems count="1">
    <i/>
  </colItems>
  <dataFields count="1">
    <dataField name="Sum of Total Revenue" fld="7" baseField="0" baseItem="0" numFmtId="164"/>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25581C-1E3D-4EB6-94A9-164B533EDD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F10" firstHeaderRow="1" firstDataRow="1" firstDataCol="1"/>
  <pivotFields count="10">
    <pivotField showAll="0"/>
    <pivotField axis="axisRow" showAll="0">
      <items count="7">
        <item x="2"/>
        <item x="5"/>
        <item x="3"/>
        <item x="1"/>
        <item x="4"/>
        <item x="0"/>
        <item t="default"/>
      </items>
    </pivotField>
    <pivotField showAll="0"/>
    <pivotField numFmtId="164" showAll="0"/>
    <pivotField numFmtId="164" showAll="0"/>
    <pivotField showAll="0"/>
    <pivotField showAll="0"/>
    <pivotField numFmtId="164" showAll="0"/>
    <pivotField showAll="0"/>
    <pivotField dataField="1" showAll="0"/>
  </pivotFields>
  <rowFields count="1">
    <field x="1"/>
  </rowFields>
  <rowItems count="7">
    <i>
      <x/>
    </i>
    <i>
      <x v="1"/>
    </i>
    <i>
      <x v="2"/>
    </i>
    <i>
      <x v="3"/>
    </i>
    <i>
      <x v="4"/>
    </i>
    <i>
      <x v="5"/>
    </i>
    <i t="grand">
      <x/>
    </i>
  </rowItems>
  <colItems count="1">
    <i/>
  </colItems>
  <dataFields count="1">
    <dataField name="Sum of Average of Discount" fld="9"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748E62-80D8-441C-B2A4-F8C7149EAD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0">
    <pivotField showAll="0"/>
    <pivotField showAll="0"/>
    <pivotField axis="axisRow" showAll="0">
      <items count="7">
        <item x="4"/>
        <item x="3"/>
        <item x="0"/>
        <item x="2"/>
        <item x="5"/>
        <item x="1"/>
        <item t="default"/>
      </items>
    </pivotField>
    <pivotField numFmtId="164" showAll="0"/>
    <pivotField numFmtId="164" showAll="0"/>
    <pivotField showAll="0"/>
    <pivotField showAll="0"/>
    <pivotField dataField="1" numFmtId="164" showAll="0"/>
    <pivotField showAll="0"/>
    <pivotField showAll="0"/>
  </pivotFields>
  <rowFields count="1">
    <field x="2"/>
  </rowFields>
  <rowItems count="7">
    <i>
      <x/>
    </i>
    <i>
      <x v="1"/>
    </i>
    <i>
      <x v="2"/>
    </i>
    <i>
      <x v="3"/>
    </i>
    <i>
      <x v="4"/>
    </i>
    <i>
      <x v="5"/>
    </i>
    <i t="grand">
      <x/>
    </i>
  </rowItems>
  <colItems count="1">
    <i/>
  </colItems>
  <dataFields count="1">
    <dataField name="Sum of Total Revenue" fld="7" baseField="0" baseItem="0" numFmtId="164"/>
  </dataFields>
  <chartFormats count="7">
    <chartFormat chart="25" format="42" series="1">
      <pivotArea type="data" outline="0" fieldPosition="0">
        <references count="1">
          <reference field="4294967294" count="1" selected="0">
            <x v="0"/>
          </reference>
        </references>
      </pivotArea>
    </chartFormat>
    <chartFormat chart="25" format="43">
      <pivotArea type="data" outline="0" fieldPosition="0">
        <references count="2">
          <reference field="4294967294" count="1" selected="0">
            <x v="0"/>
          </reference>
          <reference field="2" count="1" selected="0">
            <x v="0"/>
          </reference>
        </references>
      </pivotArea>
    </chartFormat>
    <chartFormat chart="25" format="44">
      <pivotArea type="data" outline="0" fieldPosition="0">
        <references count="2">
          <reference field="4294967294" count="1" selected="0">
            <x v="0"/>
          </reference>
          <reference field="2" count="1" selected="0">
            <x v="1"/>
          </reference>
        </references>
      </pivotArea>
    </chartFormat>
    <chartFormat chart="25" format="45">
      <pivotArea type="data" outline="0" fieldPosition="0">
        <references count="2">
          <reference field="4294967294" count="1" selected="0">
            <x v="0"/>
          </reference>
          <reference field="2" count="1" selected="0">
            <x v="2"/>
          </reference>
        </references>
      </pivotArea>
    </chartFormat>
    <chartFormat chart="25" format="46">
      <pivotArea type="data" outline="0" fieldPosition="0">
        <references count="2">
          <reference field="4294967294" count="1" selected="0">
            <x v="0"/>
          </reference>
          <reference field="2" count="1" selected="0">
            <x v="3"/>
          </reference>
        </references>
      </pivotArea>
    </chartFormat>
    <chartFormat chart="25" format="47">
      <pivotArea type="data" outline="0" fieldPosition="0">
        <references count="2">
          <reference field="4294967294" count="1" selected="0">
            <x v="0"/>
          </reference>
          <reference field="2" count="1" selected="0">
            <x v="4"/>
          </reference>
        </references>
      </pivotArea>
    </chartFormat>
    <chartFormat chart="25" format="4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C82F9A-0189-4520-8F91-91E56B0B360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3:N14" firstHeaderRow="1" firstDataRow="1" firstDataCol="1"/>
  <pivotFields count="10">
    <pivotField axis="axisRow" showAll="0">
      <items count="11">
        <item x="3"/>
        <item x="4"/>
        <item x="0"/>
        <item x="7"/>
        <item x="1"/>
        <item x="5"/>
        <item x="9"/>
        <item x="6"/>
        <item x="8"/>
        <item x="2"/>
        <item t="default"/>
      </items>
    </pivotField>
    <pivotField showAll="0">
      <items count="7">
        <item x="2"/>
        <item x="5"/>
        <item x="3"/>
        <item x="1"/>
        <item x="4"/>
        <item x="0"/>
        <item t="default"/>
      </items>
    </pivotField>
    <pivotField showAll="0"/>
    <pivotField numFmtId="164" showAll="0"/>
    <pivotField numFmtId="164" showAll="0"/>
    <pivotField showAll="0"/>
    <pivotField dataField="1" showAll="0"/>
    <pivotField numFmtId="164"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Orders" fld="6"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E81686-CAF7-483D-AC8B-7E2D260EC9B1}" autoFormatId="16" applyNumberFormats="0" applyBorderFormats="0" applyFontFormats="0" applyPatternFormats="0" applyAlignmentFormats="0" applyWidthHeightFormats="0">
  <queryTableRefresh nextId="10">
    <queryTableFields count="9">
      <queryTableField id="1" name="Product Name" tableColumnId="1"/>
      <queryTableField id="2" name="Category" tableColumnId="2"/>
      <queryTableField id="3" name="City" tableColumnId="3"/>
      <queryTableField id="4" name="Original Price" tableColumnId="4"/>
      <queryTableField id="5" name="Current Price" tableColumnId="5"/>
      <queryTableField id="6" name="Discount" tableColumnId="6"/>
      <queryTableField id="7" name="Orders" tableColumnId="7"/>
      <queryTableField id="8" name="Total Revenue" tableColumnId="8"/>
      <queryTableField id="9" name="Influencer Activ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A34BA81-E084-4CF5-8215-16CE8B64CC7F}" sourceName="Product Name">
  <pivotTables>
    <pivotTable tabId="7" name="PivotTable8"/>
  </pivotTables>
  <data>
    <tabular pivotCacheId="247817725">
      <items count="10">
        <i x="3" s="1"/>
        <i x="4" s="1"/>
        <i x="0" s="1"/>
        <i x="7" s="1"/>
        <i x="1" s="1"/>
        <i x="5" s="1"/>
        <i x="9" s="1"/>
        <i x="6" s="1"/>
        <i x="8"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A9BC4EA-249A-40A9-BCC3-9531FDAF20B9}" sourceName="City">
  <pivotTables>
    <pivotTable tabId="7" name="PivotTable5"/>
  </pivotTables>
  <data>
    <tabular pivotCacheId="247817725">
      <items count="6">
        <i x="4" s="1"/>
        <i x="3" s="1"/>
        <i x="0"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AC44FC-CA77-400C-BAF8-BD7BF218DCE1}" sourceName="Category">
  <pivotTables>
    <pivotTable tabId="7" name="PivotTable8"/>
  </pivotTables>
  <data>
    <tabular pivotCacheId="247817725">
      <items count="6">
        <i x="2" s="1"/>
        <i x="5" s="1"/>
        <i x="3"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encer_Active" xr10:uid="{770D3115-2BD2-4F3B-8921-97A5868212DB}" sourceName="Influencer Active">
  <pivotTables>
    <pivotTable tabId="7" name="PivotTable7"/>
  </pivotTables>
  <data>
    <tabular pivotCacheId="2478177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D6A1621-BCAC-4606-B7A2-51EE31002D98}" cache="Slicer_Product_Name" caption="Product Name" rowHeight="234950"/>
  <slicer name="City" xr10:uid="{9FDEA944-31F5-4CC4-9121-05CA6BA46B6A}" cache="Slicer_City" caption="City" rowHeight="234950"/>
  <slicer name="Category" xr10:uid="{CD59277C-66A4-4E3B-8F4E-C0975F84B045}" cache="Slicer_Category" caption="Category" rowHeight="234950"/>
  <slicer name="Influencer Active" xr10:uid="{267CF4E2-BF6A-4DF0-A9CC-72E9C5AEE46A}" cache="Slicer_Influencer_Active" caption="Influencer Activ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714531-9FBC-4051-A2C2-2398DFA5172D}" name="zepto_sales_dataset_csv" displayName="zepto_sales_dataset_csv" ref="A1:I301" tableType="queryTable" totalsRowShown="0">
  <autoFilter ref="A1:I301" xr:uid="{BF714531-9FBC-4051-A2C2-2398DFA5172D}"/>
  <tableColumns count="9">
    <tableColumn id="1" xr3:uid="{83692082-5835-4C0B-B857-A959C1231A91}" uniqueName="1" name="Product Name" queryTableFieldId="1" dataDxfId="17"/>
    <tableColumn id="2" xr3:uid="{F9D9A013-3BB7-472D-A0BF-3CD245FBE80C}" uniqueName="2" name="Category" queryTableFieldId="2" dataDxfId="16"/>
    <tableColumn id="3" xr3:uid="{AA5CA867-CEE9-45C6-9CE8-E92CB541FC9A}" uniqueName="3" name="City" queryTableFieldId="3" dataDxfId="15"/>
    <tableColumn id="4" xr3:uid="{93EFCDB1-AD2C-4049-8AAE-904C8558B655}" uniqueName="4" name="Original Price" queryTableFieldId="4"/>
    <tableColumn id="5" xr3:uid="{4F2294E7-3629-45D7-AE66-A1B6781936C4}" uniqueName="5" name="Current Price" queryTableFieldId="5"/>
    <tableColumn id="6" xr3:uid="{EB367A25-C9DE-43D4-B7F4-D2D2A0B93189}" uniqueName="6" name="Discount" queryTableFieldId="6"/>
    <tableColumn id="7" xr3:uid="{B252DD58-FC0B-4CB0-8C18-816E34B6EE0C}" uniqueName="7" name="Orders" queryTableFieldId="7"/>
    <tableColumn id="8" xr3:uid="{64F581AE-00F5-4ECF-BCCF-37EAD1987543}" uniqueName="8" name="Total Revenue" queryTableFieldId="8"/>
    <tableColumn id="9" xr3:uid="{BE0DD2E7-597C-426B-B5A1-3EB77D53AFFF}" uniqueName="9" name="Influencer Active" queryTableFieldId="9"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F06B67-B8C1-4C76-BE36-263D71DF1C91}" name="Table3" displayName="Table3" ref="A1:J301" totalsRowShown="0" headerRowDxfId="13" headerRowBorderDxfId="12" tableBorderDxfId="11" totalsRowBorderDxfId="10">
  <autoFilter ref="A1:J301" xr:uid="{17F06B67-B8C1-4C76-BE36-263D71DF1C91}"/>
  <tableColumns count="10">
    <tableColumn id="1" xr3:uid="{BD73EAA1-D08C-4C71-9FF6-FC85A4490405}" name="Product Name" dataDxfId="9"/>
    <tableColumn id="2" xr3:uid="{0B4D7371-E96E-4F46-AA6F-4302C39E67F6}" name="Category" dataDxfId="8"/>
    <tableColumn id="3" xr3:uid="{78F9B11F-954E-4604-B015-71403C8A0147}" name="City" dataDxfId="7"/>
    <tableColumn id="4" xr3:uid="{A0F7E8B0-49AC-443B-9FD9-554904F7EA25}" name="Original Price" dataDxfId="6"/>
    <tableColumn id="5" xr3:uid="{9AF769E8-4146-482B-B25D-FB69D95F8AF7}" name="Current Price" dataDxfId="5"/>
    <tableColumn id="6" xr3:uid="{769ACB1D-1BF3-4A01-A2F6-3778FFB8E513}" name="Discount" dataDxfId="4"/>
    <tableColumn id="7" xr3:uid="{14F4C218-33C2-4F0E-B856-AE12969A171D}" name="Orders" dataDxfId="3"/>
    <tableColumn id="8" xr3:uid="{61D6CB19-6903-42BB-BC8D-19590AB96A5D}" name="Total Revenue" dataDxfId="2"/>
    <tableColumn id="9" xr3:uid="{9BB675BA-4B2E-4F4C-8D00-13D913333B71}" name="Influencer Active" dataDxfId="1"/>
    <tableColumn id="10" xr3:uid="{A5A61EF9-E118-474C-B723-CD73D4D16132}" name="Average of Discount" dataDxfId="0">
      <calculatedColumnFormula>AVERAGEIF(B2:B301, B2, F2:F301)</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6CC8-E0EF-49B6-9EC6-B90AF63F3F03}">
  <dimension ref="A1:I301"/>
  <sheetViews>
    <sheetView workbookViewId="0">
      <selection activeCell="H11" sqref="H11"/>
    </sheetView>
  </sheetViews>
  <sheetFormatPr defaultRowHeight="14.4" x14ac:dyDescent="0.3"/>
  <cols>
    <col min="1" max="1" width="15.44140625" bestFit="1" customWidth="1"/>
    <col min="2" max="2" width="12.5546875" bestFit="1" customWidth="1"/>
    <col min="3" max="3" width="9.77734375" bestFit="1" customWidth="1"/>
    <col min="4" max="4" width="14.21875" bestFit="1" customWidth="1"/>
    <col min="5" max="5" width="14.109375" bestFit="1" customWidth="1"/>
    <col min="6" max="6" width="10.5546875" bestFit="1" customWidth="1"/>
    <col min="7" max="7" width="8.77734375" bestFit="1" customWidth="1"/>
    <col min="8" max="8" width="15.33203125" bestFit="1" customWidth="1"/>
    <col min="9" max="9" width="17.554687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148</v>
      </c>
      <c r="E2">
        <v>163</v>
      </c>
      <c r="F2">
        <v>5</v>
      </c>
      <c r="G2">
        <v>283</v>
      </c>
      <c r="H2">
        <v>44714</v>
      </c>
      <c r="I2" t="s">
        <v>12</v>
      </c>
    </row>
    <row r="3" spans="1:9" x14ac:dyDescent="0.3">
      <c r="A3" t="s">
        <v>9</v>
      </c>
      <c r="B3" t="s">
        <v>10</v>
      </c>
      <c r="C3" t="s">
        <v>13</v>
      </c>
      <c r="D3">
        <v>81</v>
      </c>
      <c r="E3">
        <v>86</v>
      </c>
      <c r="F3">
        <v>10</v>
      </c>
      <c r="G3">
        <v>284</v>
      </c>
      <c r="H3">
        <v>21584</v>
      </c>
      <c r="I3" t="s">
        <v>14</v>
      </c>
    </row>
    <row r="4" spans="1:9" x14ac:dyDescent="0.3">
      <c r="A4" t="s">
        <v>15</v>
      </c>
      <c r="B4" t="s">
        <v>16</v>
      </c>
      <c r="C4" t="s">
        <v>17</v>
      </c>
      <c r="D4">
        <v>138</v>
      </c>
      <c r="E4">
        <v>143</v>
      </c>
      <c r="F4">
        <v>10</v>
      </c>
      <c r="G4">
        <v>69</v>
      </c>
      <c r="H4">
        <v>9177</v>
      </c>
      <c r="I4" t="s">
        <v>12</v>
      </c>
    </row>
    <row r="5" spans="1:9" x14ac:dyDescent="0.3">
      <c r="A5" t="s">
        <v>18</v>
      </c>
      <c r="B5" t="s">
        <v>19</v>
      </c>
      <c r="C5" t="s">
        <v>11</v>
      </c>
      <c r="D5">
        <v>127</v>
      </c>
      <c r="E5">
        <v>127</v>
      </c>
      <c r="F5">
        <v>10</v>
      </c>
      <c r="G5">
        <v>83</v>
      </c>
      <c r="H5">
        <v>9711</v>
      </c>
      <c r="I5" t="s">
        <v>12</v>
      </c>
    </row>
    <row r="6" spans="1:9" x14ac:dyDescent="0.3">
      <c r="A6" t="s">
        <v>20</v>
      </c>
      <c r="B6" t="s">
        <v>16</v>
      </c>
      <c r="C6" t="s">
        <v>21</v>
      </c>
      <c r="D6">
        <v>34</v>
      </c>
      <c r="E6">
        <v>49</v>
      </c>
      <c r="F6">
        <v>10</v>
      </c>
      <c r="G6">
        <v>169</v>
      </c>
      <c r="H6">
        <v>6591</v>
      </c>
      <c r="I6" t="s">
        <v>14</v>
      </c>
    </row>
    <row r="7" spans="1:9" x14ac:dyDescent="0.3">
      <c r="A7" t="s">
        <v>22</v>
      </c>
      <c r="B7" t="s">
        <v>23</v>
      </c>
      <c r="C7" t="s">
        <v>11</v>
      </c>
      <c r="D7">
        <v>149</v>
      </c>
      <c r="E7">
        <v>159</v>
      </c>
      <c r="F7">
        <v>0</v>
      </c>
      <c r="G7">
        <v>246</v>
      </c>
      <c r="H7">
        <v>39114</v>
      </c>
      <c r="I7" t="s">
        <v>12</v>
      </c>
    </row>
    <row r="8" spans="1:9" x14ac:dyDescent="0.3">
      <c r="A8" t="s">
        <v>9</v>
      </c>
      <c r="B8" t="s">
        <v>10</v>
      </c>
      <c r="C8" t="s">
        <v>24</v>
      </c>
      <c r="D8">
        <v>82</v>
      </c>
      <c r="E8">
        <v>87</v>
      </c>
      <c r="F8">
        <v>0</v>
      </c>
      <c r="G8">
        <v>254</v>
      </c>
      <c r="H8">
        <v>22098</v>
      </c>
      <c r="I8" t="s">
        <v>14</v>
      </c>
    </row>
    <row r="9" spans="1:9" x14ac:dyDescent="0.3">
      <c r="A9" t="s">
        <v>22</v>
      </c>
      <c r="B9" t="s">
        <v>23</v>
      </c>
      <c r="C9" t="s">
        <v>24</v>
      </c>
      <c r="D9">
        <v>46</v>
      </c>
      <c r="E9">
        <v>51</v>
      </c>
      <c r="F9">
        <v>5</v>
      </c>
      <c r="G9">
        <v>179</v>
      </c>
      <c r="H9">
        <v>8234</v>
      </c>
      <c r="I9" t="s">
        <v>12</v>
      </c>
    </row>
    <row r="10" spans="1:9" x14ac:dyDescent="0.3">
      <c r="A10" t="s">
        <v>20</v>
      </c>
      <c r="B10" t="s">
        <v>16</v>
      </c>
      <c r="C10" t="s">
        <v>25</v>
      </c>
      <c r="D10">
        <v>137</v>
      </c>
      <c r="E10">
        <v>137</v>
      </c>
      <c r="F10">
        <v>10</v>
      </c>
      <c r="G10">
        <v>268</v>
      </c>
      <c r="H10">
        <v>34036</v>
      </c>
      <c r="I10" t="s">
        <v>12</v>
      </c>
    </row>
    <row r="11" spans="1:9" x14ac:dyDescent="0.3">
      <c r="A11" t="s">
        <v>26</v>
      </c>
      <c r="B11" t="s">
        <v>27</v>
      </c>
      <c r="C11" t="s">
        <v>17</v>
      </c>
      <c r="D11">
        <v>196</v>
      </c>
      <c r="E11">
        <v>201</v>
      </c>
      <c r="F11">
        <v>0</v>
      </c>
      <c r="G11">
        <v>59</v>
      </c>
      <c r="H11">
        <v>11859</v>
      </c>
      <c r="I11" t="s">
        <v>14</v>
      </c>
    </row>
    <row r="12" spans="1:9" x14ac:dyDescent="0.3">
      <c r="A12" t="s">
        <v>26</v>
      </c>
      <c r="B12" t="s">
        <v>27</v>
      </c>
      <c r="C12" t="s">
        <v>17</v>
      </c>
      <c r="D12">
        <v>109</v>
      </c>
      <c r="E12">
        <v>114</v>
      </c>
      <c r="F12">
        <v>0</v>
      </c>
      <c r="G12">
        <v>241</v>
      </c>
      <c r="H12">
        <v>27474</v>
      </c>
      <c r="I12" t="s">
        <v>12</v>
      </c>
    </row>
    <row r="13" spans="1:9" x14ac:dyDescent="0.3">
      <c r="A13" t="s">
        <v>26</v>
      </c>
      <c r="B13" t="s">
        <v>27</v>
      </c>
      <c r="C13" t="s">
        <v>25</v>
      </c>
      <c r="D13">
        <v>28</v>
      </c>
      <c r="E13">
        <v>28</v>
      </c>
      <c r="F13">
        <v>5</v>
      </c>
      <c r="G13">
        <v>281</v>
      </c>
      <c r="H13">
        <v>6463</v>
      </c>
      <c r="I13" t="s">
        <v>12</v>
      </c>
    </row>
    <row r="14" spans="1:9" x14ac:dyDescent="0.3">
      <c r="A14" t="s">
        <v>26</v>
      </c>
      <c r="B14" t="s">
        <v>27</v>
      </c>
      <c r="C14" t="s">
        <v>13</v>
      </c>
      <c r="D14">
        <v>130</v>
      </c>
      <c r="E14">
        <v>135</v>
      </c>
      <c r="F14">
        <v>0</v>
      </c>
      <c r="G14">
        <v>76</v>
      </c>
      <c r="H14">
        <v>10260</v>
      </c>
      <c r="I14" t="s">
        <v>12</v>
      </c>
    </row>
    <row r="15" spans="1:9" x14ac:dyDescent="0.3">
      <c r="A15" t="s">
        <v>28</v>
      </c>
      <c r="B15" t="s">
        <v>10</v>
      </c>
      <c r="C15" t="s">
        <v>24</v>
      </c>
      <c r="D15">
        <v>125</v>
      </c>
      <c r="E15">
        <v>125</v>
      </c>
      <c r="F15">
        <v>5</v>
      </c>
      <c r="G15">
        <v>155</v>
      </c>
      <c r="H15">
        <v>18600</v>
      </c>
      <c r="I15" t="s">
        <v>12</v>
      </c>
    </row>
    <row r="16" spans="1:9" x14ac:dyDescent="0.3">
      <c r="A16" t="s">
        <v>20</v>
      </c>
      <c r="B16" t="s">
        <v>16</v>
      </c>
      <c r="C16" t="s">
        <v>11</v>
      </c>
      <c r="D16">
        <v>56</v>
      </c>
      <c r="E16">
        <v>66</v>
      </c>
      <c r="F16">
        <v>0</v>
      </c>
      <c r="G16">
        <v>89</v>
      </c>
      <c r="H16">
        <v>5874</v>
      </c>
      <c r="I16" t="s">
        <v>12</v>
      </c>
    </row>
    <row r="17" spans="1:9" x14ac:dyDescent="0.3">
      <c r="A17" t="s">
        <v>29</v>
      </c>
      <c r="B17" t="s">
        <v>19</v>
      </c>
      <c r="C17" t="s">
        <v>13</v>
      </c>
      <c r="D17">
        <v>50</v>
      </c>
      <c r="E17">
        <v>50</v>
      </c>
      <c r="F17">
        <v>10</v>
      </c>
      <c r="G17">
        <v>118</v>
      </c>
      <c r="H17">
        <v>4720</v>
      </c>
      <c r="I17" t="s">
        <v>14</v>
      </c>
    </row>
    <row r="18" spans="1:9" x14ac:dyDescent="0.3">
      <c r="A18" t="s">
        <v>9</v>
      </c>
      <c r="B18" t="s">
        <v>10</v>
      </c>
      <c r="C18" t="s">
        <v>11</v>
      </c>
      <c r="D18">
        <v>80</v>
      </c>
      <c r="E18">
        <v>85</v>
      </c>
      <c r="F18">
        <v>5</v>
      </c>
      <c r="G18">
        <v>232</v>
      </c>
      <c r="H18">
        <v>18560</v>
      </c>
      <c r="I18" t="s">
        <v>12</v>
      </c>
    </row>
    <row r="19" spans="1:9" x14ac:dyDescent="0.3">
      <c r="A19" t="s">
        <v>18</v>
      </c>
      <c r="B19" t="s">
        <v>19</v>
      </c>
      <c r="C19" t="s">
        <v>24</v>
      </c>
      <c r="D19">
        <v>164</v>
      </c>
      <c r="E19">
        <v>174</v>
      </c>
      <c r="F19">
        <v>0</v>
      </c>
      <c r="G19">
        <v>100</v>
      </c>
      <c r="H19">
        <v>17400</v>
      </c>
      <c r="I19" t="s">
        <v>14</v>
      </c>
    </row>
    <row r="20" spans="1:9" x14ac:dyDescent="0.3">
      <c r="A20" t="s">
        <v>30</v>
      </c>
      <c r="B20" t="s">
        <v>10</v>
      </c>
      <c r="C20" t="s">
        <v>21</v>
      </c>
      <c r="D20">
        <v>102</v>
      </c>
      <c r="E20">
        <v>107</v>
      </c>
      <c r="F20">
        <v>10</v>
      </c>
      <c r="G20">
        <v>254</v>
      </c>
      <c r="H20">
        <v>24638</v>
      </c>
      <c r="I20" t="s">
        <v>12</v>
      </c>
    </row>
    <row r="21" spans="1:9" x14ac:dyDescent="0.3">
      <c r="A21" t="s">
        <v>31</v>
      </c>
      <c r="B21" t="s">
        <v>32</v>
      </c>
      <c r="C21" t="s">
        <v>25</v>
      </c>
      <c r="D21">
        <v>195</v>
      </c>
      <c r="E21">
        <v>205</v>
      </c>
      <c r="F21">
        <v>0</v>
      </c>
      <c r="G21">
        <v>223</v>
      </c>
      <c r="H21">
        <v>45715</v>
      </c>
      <c r="I21" t="s">
        <v>12</v>
      </c>
    </row>
    <row r="22" spans="1:9" x14ac:dyDescent="0.3">
      <c r="A22" t="s">
        <v>18</v>
      </c>
      <c r="B22" t="s">
        <v>19</v>
      </c>
      <c r="C22" t="s">
        <v>17</v>
      </c>
      <c r="D22">
        <v>154</v>
      </c>
      <c r="E22">
        <v>159</v>
      </c>
      <c r="F22">
        <v>5</v>
      </c>
      <c r="G22">
        <v>253</v>
      </c>
      <c r="H22">
        <v>38962</v>
      </c>
      <c r="I22" t="s">
        <v>12</v>
      </c>
    </row>
    <row r="23" spans="1:9" x14ac:dyDescent="0.3">
      <c r="A23" t="s">
        <v>22</v>
      </c>
      <c r="B23" t="s">
        <v>23</v>
      </c>
      <c r="C23" t="s">
        <v>13</v>
      </c>
      <c r="D23">
        <v>120</v>
      </c>
      <c r="E23">
        <v>135</v>
      </c>
      <c r="F23">
        <v>0</v>
      </c>
      <c r="G23">
        <v>291</v>
      </c>
      <c r="H23">
        <v>39285</v>
      </c>
      <c r="I23" t="s">
        <v>14</v>
      </c>
    </row>
    <row r="24" spans="1:9" x14ac:dyDescent="0.3">
      <c r="A24" t="s">
        <v>30</v>
      </c>
      <c r="B24" t="s">
        <v>10</v>
      </c>
      <c r="C24" t="s">
        <v>21</v>
      </c>
      <c r="D24">
        <v>144</v>
      </c>
      <c r="E24">
        <v>144</v>
      </c>
      <c r="F24">
        <v>5</v>
      </c>
      <c r="G24">
        <v>186</v>
      </c>
      <c r="H24">
        <v>25854</v>
      </c>
      <c r="I24" t="s">
        <v>14</v>
      </c>
    </row>
    <row r="25" spans="1:9" x14ac:dyDescent="0.3">
      <c r="A25" t="s">
        <v>26</v>
      </c>
      <c r="B25" t="s">
        <v>27</v>
      </c>
      <c r="C25" t="s">
        <v>25</v>
      </c>
      <c r="D25">
        <v>118</v>
      </c>
      <c r="E25">
        <v>123</v>
      </c>
      <c r="F25">
        <v>5</v>
      </c>
      <c r="G25">
        <v>124</v>
      </c>
      <c r="H25">
        <v>14632</v>
      </c>
      <c r="I25" t="s">
        <v>12</v>
      </c>
    </row>
    <row r="26" spans="1:9" x14ac:dyDescent="0.3">
      <c r="A26" t="s">
        <v>18</v>
      </c>
      <c r="B26" t="s">
        <v>19</v>
      </c>
      <c r="C26" t="s">
        <v>17</v>
      </c>
      <c r="D26">
        <v>41</v>
      </c>
      <c r="E26">
        <v>51</v>
      </c>
      <c r="F26">
        <v>10</v>
      </c>
      <c r="G26">
        <v>53</v>
      </c>
      <c r="H26">
        <v>2173</v>
      </c>
      <c r="I26" t="s">
        <v>14</v>
      </c>
    </row>
    <row r="27" spans="1:9" x14ac:dyDescent="0.3">
      <c r="A27" t="s">
        <v>26</v>
      </c>
      <c r="B27" t="s">
        <v>27</v>
      </c>
      <c r="C27" t="s">
        <v>24</v>
      </c>
      <c r="D27">
        <v>147</v>
      </c>
      <c r="E27">
        <v>147</v>
      </c>
      <c r="F27">
        <v>10</v>
      </c>
      <c r="G27">
        <v>167</v>
      </c>
      <c r="H27">
        <v>22879</v>
      </c>
      <c r="I27" t="s">
        <v>12</v>
      </c>
    </row>
    <row r="28" spans="1:9" x14ac:dyDescent="0.3">
      <c r="A28" t="s">
        <v>15</v>
      </c>
      <c r="B28" t="s">
        <v>16</v>
      </c>
      <c r="C28" t="s">
        <v>13</v>
      </c>
      <c r="D28">
        <v>111</v>
      </c>
      <c r="E28">
        <v>121</v>
      </c>
      <c r="F28">
        <v>10</v>
      </c>
      <c r="G28">
        <v>227</v>
      </c>
      <c r="H28">
        <v>25197</v>
      </c>
      <c r="I28" t="s">
        <v>12</v>
      </c>
    </row>
    <row r="29" spans="1:9" x14ac:dyDescent="0.3">
      <c r="A29" t="s">
        <v>29</v>
      </c>
      <c r="B29" t="s">
        <v>19</v>
      </c>
      <c r="C29" t="s">
        <v>25</v>
      </c>
      <c r="D29">
        <v>182</v>
      </c>
      <c r="E29">
        <v>192</v>
      </c>
      <c r="F29">
        <v>5</v>
      </c>
      <c r="G29">
        <v>56</v>
      </c>
      <c r="H29">
        <v>10472</v>
      </c>
      <c r="I29" t="s">
        <v>14</v>
      </c>
    </row>
    <row r="30" spans="1:9" x14ac:dyDescent="0.3">
      <c r="A30" t="s">
        <v>18</v>
      </c>
      <c r="B30" t="s">
        <v>19</v>
      </c>
      <c r="C30" t="s">
        <v>25</v>
      </c>
      <c r="D30">
        <v>160</v>
      </c>
      <c r="E30">
        <v>160</v>
      </c>
      <c r="F30">
        <v>0</v>
      </c>
      <c r="G30">
        <v>150</v>
      </c>
      <c r="H30">
        <v>24000</v>
      </c>
      <c r="I30" t="s">
        <v>12</v>
      </c>
    </row>
    <row r="31" spans="1:9" x14ac:dyDescent="0.3">
      <c r="A31" t="s">
        <v>9</v>
      </c>
      <c r="B31" t="s">
        <v>10</v>
      </c>
      <c r="C31" t="s">
        <v>21</v>
      </c>
      <c r="D31">
        <v>175</v>
      </c>
      <c r="E31">
        <v>175</v>
      </c>
      <c r="F31">
        <v>0</v>
      </c>
      <c r="G31">
        <v>210</v>
      </c>
      <c r="H31">
        <v>36750</v>
      </c>
      <c r="I31" t="s">
        <v>12</v>
      </c>
    </row>
    <row r="32" spans="1:9" x14ac:dyDescent="0.3">
      <c r="A32" t="s">
        <v>26</v>
      </c>
      <c r="B32" t="s">
        <v>27</v>
      </c>
      <c r="C32" t="s">
        <v>13</v>
      </c>
      <c r="D32">
        <v>122</v>
      </c>
      <c r="E32">
        <v>127</v>
      </c>
      <c r="F32">
        <v>10</v>
      </c>
      <c r="G32">
        <v>122</v>
      </c>
      <c r="H32">
        <v>14274</v>
      </c>
      <c r="I32" t="s">
        <v>12</v>
      </c>
    </row>
    <row r="33" spans="1:9" x14ac:dyDescent="0.3">
      <c r="A33" t="s">
        <v>26</v>
      </c>
      <c r="B33" t="s">
        <v>27</v>
      </c>
      <c r="C33" t="s">
        <v>17</v>
      </c>
      <c r="D33">
        <v>124</v>
      </c>
      <c r="E33">
        <v>139</v>
      </c>
      <c r="F33">
        <v>5</v>
      </c>
      <c r="G33">
        <v>58</v>
      </c>
      <c r="H33">
        <v>7772</v>
      </c>
      <c r="I33" t="s">
        <v>12</v>
      </c>
    </row>
    <row r="34" spans="1:9" x14ac:dyDescent="0.3">
      <c r="A34" t="s">
        <v>28</v>
      </c>
      <c r="B34" t="s">
        <v>10</v>
      </c>
      <c r="C34" t="s">
        <v>13</v>
      </c>
      <c r="D34">
        <v>159</v>
      </c>
      <c r="E34">
        <v>164</v>
      </c>
      <c r="F34">
        <v>10</v>
      </c>
      <c r="G34">
        <v>83</v>
      </c>
      <c r="H34">
        <v>12782</v>
      </c>
      <c r="I34" t="s">
        <v>14</v>
      </c>
    </row>
    <row r="35" spans="1:9" x14ac:dyDescent="0.3">
      <c r="A35" t="s">
        <v>22</v>
      </c>
      <c r="B35" t="s">
        <v>23</v>
      </c>
      <c r="C35" t="s">
        <v>17</v>
      </c>
      <c r="D35">
        <v>142</v>
      </c>
      <c r="E35">
        <v>157</v>
      </c>
      <c r="F35">
        <v>10</v>
      </c>
      <c r="G35">
        <v>196</v>
      </c>
      <c r="H35">
        <v>28812</v>
      </c>
      <c r="I35" t="s">
        <v>14</v>
      </c>
    </row>
    <row r="36" spans="1:9" x14ac:dyDescent="0.3">
      <c r="A36" t="s">
        <v>20</v>
      </c>
      <c r="B36" t="s">
        <v>16</v>
      </c>
      <c r="C36" t="s">
        <v>13</v>
      </c>
      <c r="D36">
        <v>80</v>
      </c>
      <c r="E36">
        <v>90</v>
      </c>
      <c r="F36">
        <v>5</v>
      </c>
      <c r="G36">
        <v>246</v>
      </c>
      <c r="H36">
        <v>20910</v>
      </c>
      <c r="I36" t="s">
        <v>12</v>
      </c>
    </row>
    <row r="37" spans="1:9" x14ac:dyDescent="0.3">
      <c r="A37" t="s">
        <v>28</v>
      </c>
      <c r="B37" t="s">
        <v>10</v>
      </c>
      <c r="C37" t="s">
        <v>24</v>
      </c>
      <c r="D37">
        <v>20</v>
      </c>
      <c r="E37">
        <v>25</v>
      </c>
      <c r="F37">
        <v>0</v>
      </c>
      <c r="G37">
        <v>82</v>
      </c>
      <c r="H37">
        <v>2050</v>
      </c>
      <c r="I37" t="s">
        <v>12</v>
      </c>
    </row>
    <row r="38" spans="1:9" x14ac:dyDescent="0.3">
      <c r="A38" t="s">
        <v>9</v>
      </c>
      <c r="B38" t="s">
        <v>10</v>
      </c>
      <c r="C38" t="s">
        <v>25</v>
      </c>
      <c r="D38">
        <v>138</v>
      </c>
      <c r="E38">
        <v>138</v>
      </c>
      <c r="F38">
        <v>10</v>
      </c>
      <c r="G38">
        <v>129</v>
      </c>
      <c r="H38">
        <v>16512</v>
      </c>
      <c r="I38" t="s">
        <v>12</v>
      </c>
    </row>
    <row r="39" spans="1:9" x14ac:dyDescent="0.3">
      <c r="A39" t="s">
        <v>18</v>
      </c>
      <c r="B39" t="s">
        <v>19</v>
      </c>
      <c r="C39" t="s">
        <v>25</v>
      </c>
      <c r="D39">
        <v>87</v>
      </c>
      <c r="E39">
        <v>97</v>
      </c>
      <c r="F39">
        <v>5</v>
      </c>
      <c r="G39">
        <v>126</v>
      </c>
      <c r="H39">
        <v>11592</v>
      </c>
      <c r="I39" t="s">
        <v>12</v>
      </c>
    </row>
    <row r="40" spans="1:9" x14ac:dyDescent="0.3">
      <c r="A40" t="s">
        <v>29</v>
      </c>
      <c r="B40" t="s">
        <v>19</v>
      </c>
      <c r="C40" t="s">
        <v>25</v>
      </c>
      <c r="D40">
        <v>91</v>
      </c>
      <c r="E40">
        <v>91</v>
      </c>
      <c r="F40">
        <v>0</v>
      </c>
      <c r="G40">
        <v>239</v>
      </c>
      <c r="H40">
        <v>21749</v>
      </c>
      <c r="I40" t="s">
        <v>12</v>
      </c>
    </row>
    <row r="41" spans="1:9" x14ac:dyDescent="0.3">
      <c r="A41" t="s">
        <v>9</v>
      </c>
      <c r="B41" t="s">
        <v>10</v>
      </c>
      <c r="C41" t="s">
        <v>24</v>
      </c>
      <c r="D41">
        <v>108</v>
      </c>
      <c r="E41">
        <v>113</v>
      </c>
      <c r="F41">
        <v>0</v>
      </c>
      <c r="G41">
        <v>56</v>
      </c>
      <c r="H41">
        <v>6328</v>
      </c>
      <c r="I41" t="s">
        <v>12</v>
      </c>
    </row>
    <row r="42" spans="1:9" x14ac:dyDescent="0.3">
      <c r="A42" t="s">
        <v>29</v>
      </c>
      <c r="B42" t="s">
        <v>19</v>
      </c>
      <c r="C42" t="s">
        <v>13</v>
      </c>
      <c r="D42">
        <v>188</v>
      </c>
      <c r="E42">
        <v>198</v>
      </c>
      <c r="F42">
        <v>10</v>
      </c>
      <c r="G42">
        <v>81</v>
      </c>
      <c r="H42">
        <v>15228</v>
      </c>
      <c r="I42" t="s">
        <v>12</v>
      </c>
    </row>
    <row r="43" spans="1:9" x14ac:dyDescent="0.3">
      <c r="A43" t="s">
        <v>31</v>
      </c>
      <c r="B43" t="s">
        <v>32</v>
      </c>
      <c r="C43" t="s">
        <v>25</v>
      </c>
      <c r="D43">
        <v>74</v>
      </c>
      <c r="E43">
        <v>74</v>
      </c>
      <c r="F43">
        <v>0</v>
      </c>
      <c r="G43">
        <v>68</v>
      </c>
      <c r="H43">
        <v>5032</v>
      </c>
      <c r="I43" t="s">
        <v>12</v>
      </c>
    </row>
    <row r="44" spans="1:9" x14ac:dyDescent="0.3">
      <c r="A44" t="s">
        <v>30</v>
      </c>
      <c r="B44" t="s">
        <v>10</v>
      </c>
      <c r="C44" t="s">
        <v>21</v>
      </c>
      <c r="D44">
        <v>96</v>
      </c>
      <c r="E44">
        <v>101</v>
      </c>
      <c r="F44">
        <v>0</v>
      </c>
      <c r="G44">
        <v>299</v>
      </c>
      <c r="H44">
        <v>30199</v>
      </c>
      <c r="I44" t="s">
        <v>12</v>
      </c>
    </row>
    <row r="45" spans="1:9" x14ac:dyDescent="0.3">
      <c r="A45" t="s">
        <v>28</v>
      </c>
      <c r="B45" t="s">
        <v>10</v>
      </c>
      <c r="C45" t="s">
        <v>11</v>
      </c>
      <c r="D45">
        <v>177</v>
      </c>
      <c r="E45">
        <v>187</v>
      </c>
      <c r="F45">
        <v>5</v>
      </c>
      <c r="G45">
        <v>143</v>
      </c>
      <c r="H45">
        <v>26026</v>
      </c>
      <c r="I45" t="s">
        <v>12</v>
      </c>
    </row>
    <row r="46" spans="1:9" x14ac:dyDescent="0.3">
      <c r="A46" t="s">
        <v>29</v>
      </c>
      <c r="B46" t="s">
        <v>19</v>
      </c>
      <c r="C46" t="s">
        <v>25</v>
      </c>
      <c r="D46">
        <v>191</v>
      </c>
      <c r="E46">
        <v>201</v>
      </c>
      <c r="F46">
        <v>10</v>
      </c>
      <c r="G46">
        <v>73</v>
      </c>
      <c r="H46">
        <v>13943</v>
      </c>
      <c r="I46" t="s">
        <v>14</v>
      </c>
    </row>
    <row r="47" spans="1:9" x14ac:dyDescent="0.3">
      <c r="A47" t="s">
        <v>15</v>
      </c>
      <c r="B47" t="s">
        <v>16</v>
      </c>
      <c r="C47" t="s">
        <v>21</v>
      </c>
      <c r="D47">
        <v>128</v>
      </c>
      <c r="E47">
        <v>143</v>
      </c>
      <c r="F47">
        <v>0</v>
      </c>
      <c r="G47">
        <v>231</v>
      </c>
      <c r="H47">
        <v>33033</v>
      </c>
      <c r="I47" t="s">
        <v>14</v>
      </c>
    </row>
    <row r="48" spans="1:9" x14ac:dyDescent="0.3">
      <c r="A48" t="s">
        <v>15</v>
      </c>
      <c r="B48" t="s">
        <v>16</v>
      </c>
      <c r="C48" t="s">
        <v>21</v>
      </c>
      <c r="D48">
        <v>118</v>
      </c>
      <c r="E48">
        <v>128</v>
      </c>
      <c r="F48">
        <v>5</v>
      </c>
      <c r="G48">
        <v>287</v>
      </c>
      <c r="H48">
        <v>35301</v>
      </c>
      <c r="I48" t="s">
        <v>12</v>
      </c>
    </row>
    <row r="49" spans="1:9" x14ac:dyDescent="0.3">
      <c r="A49" t="s">
        <v>31</v>
      </c>
      <c r="B49" t="s">
        <v>32</v>
      </c>
      <c r="C49" t="s">
        <v>25</v>
      </c>
      <c r="D49">
        <v>123</v>
      </c>
      <c r="E49">
        <v>123</v>
      </c>
      <c r="F49">
        <v>0</v>
      </c>
      <c r="G49">
        <v>207</v>
      </c>
      <c r="H49">
        <v>25461</v>
      </c>
      <c r="I49" t="s">
        <v>14</v>
      </c>
    </row>
    <row r="50" spans="1:9" x14ac:dyDescent="0.3">
      <c r="A50" t="s">
        <v>18</v>
      </c>
      <c r="B50" t="s">
        <v>19</v>
      </c>
      <c r="C50" t="s">
        <v>24</v>
      </c>
      <c r="D50">
        <v>86</v>
      </c>
      <c r="E50">
        <v>86</v>
      </c>
      <c r="F50">
        <v>0</v>
      </c>
      <c r="G50">
        <v>198</v>
      </c>
      <c r="H50">
        <v>17028</v>
      </c>
      <c r="I50" t="s">
        <v>12</v>
      </c>
    </row>
    <row r="51" spans="1:9" x14ac:dyDescent="0.3">
      <c r="A51" t="s">
        <v>29</v>
      </c>
      <c r="B51" t="s">
        <v>19</v>
      </c>
      <c r="C51" t="s">
        <v>17</v>
      </c>
      <c r="D51">
        <v>176</v>
      </c>
      <c r="E51">
        <v>186</v>
      </c>
      <c r="F51">
        <v>0</v>
      </c>
      <c r="G51">
        <v>171</v>
      </c>
      <c r="H51">
        <v>31806</v>
      </c>
      <c r="I51" t="s">
        <v>12</v>
      </c>
    </row>
    <row r="52" spans="1:9" x14ac:dyDescent="0.3">
      <c r="A52" t="s">
        <v>15</v>
      </c>
      <c r="B52" t="s">
        <v>16</v>
      </c>
      <c r="C52" t="s">
        <v>13</v>
      </c>
      <c r="D52">
        <v>137</v>
      </c>
      <c r="E52">
        <v>147</v>
      </c>
      <c r="F52">
        <v>10</v>
      </c>
      <c r="G52">
        <v>52</v>
      </c>
      <c r="H52">
        <v>7124</v>
      </c>
      <c r="I52" t="s">
        <v>12</v>
      </c>
    </row>
    <row r="53" spans="1:9" x14ac:dyDescent="0.3">
      <c r="A53" t="s">
        <v>30</v>
      </c>
      <c r="B53" t="s">
        <v>10</v>
      </c>
      <c r="C53" t="s">
        <v>13</v>
      </c>
      <c r="D53">
        <v>62</v>
      </c>
      <c r="E53">
        <v>72</v>
      </c>
      <c r="F53">
        <v>5</v>
      </c>
      <c r="G53">
        <v>130</v>
      </c>
      <c r="H53">
        <v>8710</v>
      </c>
      <c r="I53" t="s">
        <v>12</v>
      </c>
    </row>
    <row r="54" spans="1:9" x14ac:dyDescent="0.3">
      <c r="A54" t="s">
        <v>29</v>
      </c>
      <c r="B54" t="s">
        <v>19</v>
      </c>
      <c r="C54" t="s">
        <v>13</v>
      </c>
      <c r="D54">
        <v>80</v>
      </c>
      <c r="E54">
        <v>90</v>
      </c>
      <c r="F54">
        <v>10</v>
      </c>
      <c r="G54">
        <v>226</v>
      </c>
      <c r="H54">
        <v>18080</v>
      </c>
      <c r="I54" t="s">
        <v>14</v>
      </c>
    </row>
    <row r="55" spans="1:9" x14ac:dyDescent="0.3">
      <c r="A55" t="s">
        <v>22</v>
      </c>
      <c r="B55" t="s">
        <v>23</v>
      </c>
      <c r="C55" t="s">
        <v>25</v>
      </c>
      <c r="D55">
        <v>37</v>
      </c>
      <c r="E55">
        <v>37</v>
      </c>
      <c r="F55">
        <v>5</v>
      </c>
      <c r="G55">
        <v>209</v>
      </c>
      <c r="H55">
        <v>6688</v>
      </c>
      <c r="I55" t="s">
        <v>12</v>
      </c>
    </row>
    <row r="56" spans="1:9" x14ac:dyDescent="0.3">
      <c r="A56" t="s">
        <v>20</v>
      </c>
      <c r="B56" t="s">
        <v>16</v>
      </c>
      <c r="C56" t="s">
        <v>21</v>
      </c>
      <c r="D56">
        <v>45</v>
      </c>
      <c r="E56">
        <v>45</v>
      </c>
      <c r="F56">
        <v>5</v>
      </c>
      <c r="G56">
        <v>94</v>
      </c>
      <c r="H56">
        <v>3760</v>
      </c>
      <c r="I56" t="s">
        <v>12</v>
      </c>
    </row>
    <row r="57" spans="1:9" x14ac:dyDescent="0.3">
      <c r="A57" t="s">
        <v>20</v>
      </c>
      <c r="B57" t="s">
        <v>16</v>
      </c>
      <c r="C57" t="s">
        <v>11</v>
      </c>
      <c r="D57">
        <v>68</v>
      </c>
      <c r="E57">
        <v>83</v>
      </c>
      <c r="F57">
        <v>5</v>
      </c>
      <c r="G57">
        <v>101</v>
      </c>
      <c r="H57">
        <v>7878</v>
      </c>
      <c r="I57" t="s">
        <v>14</v>
      </c>
    </row>
    <row r="58" spans="1:9" x14ac:dyDescent="0.3">
      <c r="A58" t="s">
        <v>26</v>
      </c>
      <c r="B58" t="s">
        <v>27</v>
      </c>
      <c r="C58" t="s">
        <v>17</v>
      </c>
      <c r="D58">
        <v>182</v>
      </c>
      <c r="E58">
        <v>197</v>
      </c>
      <c r="F58">
        <v>0</v>
      </c>
      <c r="G58">
        <v>294</v>
      </c>
      <c r="H58">
        <v>57918</v>
      </c>
      <c r="I58" t="s">
        <v>12</v>
      </c>
    </row>
    <row r="59" spans="1:9" x14ac:dyDescent="0.3">
      <c r="A59" t="s">
        <v>28</v>
      </c>
      <c r="B59" t="s">
        <v>10</v>
      </c>
      <c r="C59" t="s">
        <v>11</v>
      </c>
      <c r="D59">
        <v>188</v>
      </c>
      <c r="E59">
        <v>203</v>
      </c>
      <c r="F59">
        <v>10</v>
      </c>
      <c r="G59">
        <v>279</v>
      </c>
      <c r="H59">
        <v>53847</v>
      </c>
      <c r="I59" t="s">
        <v>12</v>
      </c>
    </row>
    <row r="60" spans="1:9" x14ac:dyDescent="0.3">
      <c r="A60" t="s">
        <v>18</v>
      </c>
      <c r="B60" t="s">
        <v>19</v>
      </c>
      <c r="C60" t="s">
        <v>11</v>
      </c>
      <c r="D60">
        <v>135</v>
      </c>
      <c r="E60">
        <v>140</v>
      </c>
      <c r="F60">
        <v>5</v>
      </c>
      <c r="G60">
        <v>162</v>
      </c>
      <c r="H60">
        <v>21870</v>
      </c>
      <c r="I60" t="s">
        <v>12</v>
      </c>
    </row>
    <row r="61" spans="1:9" x14ac:dyDescent="0.3">
      <c r="A61" t="s">
        <v>22</v>
      </c>
      <c r="B61" t="s">
        <v>23</v>
      </c>
      <c r="C61" t="s">
        <v>17</v>
      </c>
      <c r="D61">
        <v>193</v>
      </c>
      <c r="E61">
        <v>193</v>
      </c>
      <c r="F61">
        <v>10</v>
      </c>
      <c r="G61">
        <v>159</v>
      </c>
      <c r="H61">
        <v>29097</v>
      </c>
      <c r="I61" t="s">
        <v>12</v>
      </c>
    </row>
    <row r="62" spans="1:9" x14ac:dyDescent="0.3">
      <c r="A62" t="s">
        <v>30</v>
      </c>
      <c r="B62" t="s">
        <v>10</v>
      </c>
      <c r="C62" t="s">
        <v>25</v>
      </c>
      <c r="D62">
        <v>150</v>
      </c>
      <c r="E62">
        <v>165</v>
      </c>
      <c r="F62">
        <v>0</v>
      </c>
      <c r="G62">
        <v>179</v>
      </c>
      <c r="H62">
        <v>29535</v>
      </c>
      <c r="I62" t="s">
        <v>12</v>
      </c>
    </row>
    <row r="63" spans="1:9" x14ac:dyDescent="0.3">
      <c r="A63" t="s">
        <v>20</v>
      </c>
      <c r="B63" t="s">
        <v>16</v>
      </c>
      <c r="C63" t="s">
        <v>17</v>
      </c>
      <c r="D63">
        <v>160</v>
      </c>
      <c r="E63">
        <v>165</v>
      </c>
      <c r="F63">
        <v>0</v>
      </c>
      <c r="G63">
        <v>244</v>
      </c>
      <c r="H63">
        <v>40260</v>
      </c>
      <c r="I63" t="s">
        <v>12</v>
      </c>
    </row>
    <row r="64" spans="1:9" x14ac:dyDescent="0.3">
      <c r="A64" t="s">
        <v>28</v>
      </c>
      <c r="B64" t="s">
        <v>10</v>
      </c>
      <c r="C64" t="s">
        <v>25</v>
      </c>
      <c r="D64">
        <v>123</v>
      </c>
      <c r="E64">
        <v>138</v>
      </c>
      <c r="F64">
        <v>0</v>
      </c>
      <c r="G64">
        <v>174</v>
      </c>
      <c r="H64">
        <v>24012</v>
      </c>
      <c r="I64" t="s">
        <v>14</v>
      </c>
    </row>
    <row r="65" spans="1:9" x14ac:dyDescent="0.3">
      <c r="A65" t="s">
        <v>22</v>
      </c>
      <c r="B65" t="s">
        <v>23</v>
      </c>
      <c r="C65" t="s">
        <v>17</v>
      </c>
      <c r="D65">
        <v>99</v>
      </c>
      <c r="E65">
        <v>104</v>
      </c>
      <c r="F65">
        <v>0</v>
      </c>
      <c r="G65">
        <v>211</v>
      </c>
      <c r="H65">
        <v>21944</v>
      </c>
      <c r="I65" t="s">
        <v>12</v>
      </c>
    </row>
    <row r="66" spans="1:9" x14ac:dyDescent="0.3">
      <c r="A66" t="s">
        <v>29</v>
      </c>
      <c r="B66" t="s">
        <v>19</v>
      </c>
      <c r="C66" t="s">
        <v>11</v>
      </c>
      <c r="D66">
        <v>140</v>
      </c>
      <c r="E66">
        <v>140</v>
      </c>
      <c r="F66">
        <v>10</v>
      </c>
      <c r="G66">
        <v>269</v>
      </c>
      <c r="H66">
        <v>34970</v>
      </c>
      <c r="I66" t="s">
        <v>12</v>
      </c>
    </row>
    <row r="67" spans="1:9" x14ac:dyDescent="0.3">
      <c r="A67" t="s">
        <v>18</v>
      </c>
      <c r="B67" t="s">
        <v>19</v>
      </c>
      <c r="C67" t="s">
        <v>17</v>
      </c>
      <c r="D67">
        <v>185</v>
      </c>
      <c r="E67">
        <v>185</v>
      </c>
      <c r="F67">
        <v>10</v>
      </c>
      <c r="G67">
        <v>200</v>
      </c>
      <c r="H67">
        <v>35000</v>
      </c>
      <c r="I67" t="s">
        <v>12</v>
      </c>
    </row>
    <row r="68" spans="1:9" x14ac:dyDescent="0.3">
      <c r="A68" t="s">
        <v>9</v>
      </c>
      <c r="B68" t="s">
        <v>10</v>
      </c>
      <c r="C68" t="s">
        <v>21</v>
      </c>
      <c r="D68">
        <v>172</v>
      </c>
      <c r="E68">
        <v>172</v>
      </c>
      <c r="F68">
        <v>10</v>
      </c>
      <c r="G68">
        <v>132</v>
      </c>
      <c r="H68">
        <v>21384</v>
      </c>
      <c r="I68" t="s">
        <v>12</v>
      </c>
    </row>
    <row r="69" spans="1:9" x14ac:dyDescent="0.3">
      <c r="A69" t="s">
        <v>30</v>
      </c>
      <c r="B69" t="s">
        <v>10</v>
      </c>
      <c r="C69" t="s">
        <v>24</v>
      </c>
      <c r="D69">
        <v>139</v>
      </c>
      <c r="E69">
        <v>144</v>
      </c>
      <c r="F69">
        <v>0</v>
      </c>
      <c r="G69">
        <v>253</v>
      </c>
      <c r="H69">
        <v>36432</v>
      </c>
      <c r="I69" t="s">
        <v>14</v>
      </c>
    </row>
    <row r="70" spans="1:9" x14ac:dyDescent="0.3">
      <c r="A70" t="s">
        <v>30</v>
      </c>
      <c r="B70" t="s">
        <v>10</v>
      </c>
      <c r="C70" t="s">
        <v>25</v>
      </c>
      <c r="D70">
        <v>180</v>
      </c>
      <c r="E70">
        <v>190</v>
      </c>
      <c r="F70">
        <v>10</v>
      </c>
      <c r="G70">
        <v>156</v>
      </c>
      <c r="H70">
        <v>28080</v>
      </c>
      <c r="I70" t="s">
        <v>14</v>
      </c>
    </row>
    <row r="71" spans="1:9" x14ac:dyDescent="0.3">
      <c r="A71" t="s">
        <v>20</v>
      </c>
      <c r="B71" t="s">
        <v>16</v>
      </c>
      <c r="C71" t="s">
        <v>13</v>
      </c>
      <c r="D71">
        <v>155</v>
      </c>
      <c r="E71">
        <v>165</v>
      </c>
      <c r="F71">
        <v>10</v>
      </c>
      <c r="G71">
        <v>74</v>
      </c>
      <c r="H71">
        <v>11470</v>
      </c>
      <c r="I71" t="s">
        <v>12</v>
      </c>
    </row>
    <row r="72" spans="1:9" x14ac:dyDescent="0.3">
      <c r="A72" t="s">
        <v>20</v>
      </c>
      <c r="B72" t="s">
        <v>16</v>
      </c>
      <c r="C72" t="s">
        <v>13</v>
      </c>
      <c r="D72">
        <v>105</v>
      </c>
      <c r="E72">
        <v>105</v>
      </c>
      <c r="F72">
        <v>5</v>
      </c>
      <c r="G72">
        <v>295</v>
      </c>
      <c r="H72">
        <v>29500</v>
      </c>
      <c r="I72" t="s">
        <v>14</v>
      </c>
    </row>
    <row r="73" spans="1:9" x14ac:dyDescent="0.3">
      <c r="A73" t="s">
        <v>26</v>
      </c>
      <c r="B73" t="s">
        <v>27</v>
      </c>
      <c r="C73" t="s">
        <v>25</v>
      </c>
      <c r="D73">
        <v>49</v>
      </c>
      <c r="E73">
        <v>49</v>
      </c>
      <c r="F73">
        <v>10</v>
      </c>
      <c r="G73">
        <v>99</v>
      </c>
      <c r="H73">
        <v>3861</v>
      </c>
      <c r="I73" t="s">
        <v>14</v>
      </c>
    </row>
    <row r="74" spans="1:9" x14ac:dyDescent="0.3">
      <c r="A74" t="s">
        <v>18</v>
      </c>
      <c r="B74" t="s">
        <v>19</v>
      </c>
      <c r="C74" t="s">
        <v>24</v>
      </c>
      <c r="D74">
        <v>53</v>
      </c>
      <c r="E74">
        <v>63</v>
      </c>
      <c r="F74">
        <v>0</v>
      </c>
      <c r="G74">
        <v>179</v>
      </c>
      <c r="H74">
        <v>11277</v>
      </c>
      <c r="I74" t="s">
        <v>12</v>
      </c>
    </row>
    <row r="75" spans="1:9" x14ac:dyDescent="0.3">
      <c r="A75" t="s">
        <v>29</v>
      </c>
      <c r="B75" t="s">
        <v>19</v>
      </c>
      <c r="C75" t="s">
        <v>25</v>
      </c>
      <c r="D75">
        <v>99</v>
      </c>
      <c r="E75">
        <v>109</v>
      </c>
      <c r="F75">
        <v>0</v>
      </c>
      <c r="G75">
        <v>297</v>
      </c>
      <c r="H75">
        <v>32373</v>
      </c>
      <c r="I75" t="s">
        <v>14</v>
      </c>
    </row>
    <row r="76" spans="1:9" x14ac:dyDescent="0.3">
      <c r="A76" t="s">
        <v>20</v>
      </c>
      <c r="B76" t="s">
        <v>16</v>
      </c>
      <c r="C76" t="s">
        <v>11</v>
      </c>
      <c r="D76">
        <v>159</v>
      </c>
      <c r="E76">
        <v>174</v>
      </c>
      <c r="F76">
        <v>5</v>
      </c>
      <c r="G76">
        <v>138</v>
      </c>
      <c r="H76">
        <v>23322</v>
      </c>
      <c r="I76" t="s">
        <v>14</v>
      </c>
    </row>
    <row r="77" spans="1:9" x14ac:dyDescent="0.3">
      <c r="A77" t="s">
        <v>31</v>
      </c>
      <c r="B77" t="s">
        <v>32</v>
      </c>
      <c r="C77" t="s">
        <v>17</v>
      </c>
      <c r="D77">
        <v>191</v>
      </c>
      <c r="E77">
        <v>191</v>
      </c>
      <c r="F77">
        <v>10</v>
      </c>
      <c r="G77">
        <v>211</v>
      </c>
      <c r="H77">
        <v>38191</v>
      </c>
      <c r="I77" t="s">
        <v>12</v>
      </c>
    </row>
    <row r="78" spans="1:9" x14ac:dyDescent="0.3">
      <c r="A78" t="s">
        <v>18</v>
      </c>
      <c r="B78" t="s">
        <v>19</v>
      </c>
      <c r="C78" t="s">
        <v>13</v>
      </c>
      <c r="D78">
        <v>186</v>
      </c>
      <c r="E78">
        <v>186</v>
      </c>
      <c r="F78">
        <v>10</v>
      </c>
      <c r="G78">
        <v>66</v>
      </c>
      <c r="H78">
        <v>11616</v>
      </c>
      <c r="I78" t="s">
        <v>14</v>
      </c>
    </row>
    <row r="79" spans="1:9" x14ac:dyDescent="0.3">
      <c r="A79" t="s">
        <v>15</v>
      </c>
      <c r="B79" t="s">
        <v>16</v>
      </c>
      <c r="C79" t="s">
        <v>13</v>
      </c>
      <c r="D79">
        <v>114</v>
      </c>
      <c r="E79">
        <v>114</v>
      </c>
      <c r="F79">
        <v>10</v>
      </c>
      <c r="G79">
        <v>283</v>
      </c>
      <c r="H79">
        <v>29432</v>
      </c>
      <c r="I79" t="s">
        <v>12</v>
      </c>
    </row>
    <row r="80" spans="1:9" x14ac:dyDescent="0.3">
      <c r="A80" t="s">
        <v>9</v>
      </c>
      <c r="B80" t="s">
        <v>10</v>
      </c>
      <c r="C80" t="s">
        <v>17</v>
      </c>
      <c r="D80">
        <v>20</v>
      </c>
      <c r="E80">
        <v>35</v>
      </c>
      <c r="F80">
        <v>10</v>
      </c>
      <c r="G80">
        <v>257</v>
      </c>
      <c r="H80">
        <v>6425</v>
      </c>
      <c r="I80" t="s">
        <v>14</v>
      </c>
    </row>
    <row r="81" spans="1:9" x14ac:dyDescent="0.3">
      <c r="A81" t="s">
        <v>29</v>
      </c>
      <c r="B81" t="s">
        <v>19</v>
      </c>
      <c r="C81" t="s">
        <v>17</v>
      </c>
      <c r="D81">
        <v>177</v>
      </c>
      <c r="E81">
        <v>187</v>
      </c>
      <c r="F81">
        <v>5</v>
      </c>
      <c r="G81">
        <v>299</v>
      </c>
      <c r="H81">
        <v>54418</v>
      </c>
      <c r="I81" t="s">
        <v>12</v>
      </c>
    </row>
    <row r="82" spans="1:9" x14ac:dyDescent="0.3">
      <c r="A82" t="s">
        <v>30</v>
      </c>
      <c r="B82" t="s">
        <v>10</v>
      </c>
      <c r="C82" t="s">
        <v>13</v>
      </c>
      <c r="D82">
        <v>151</v>
      </c>
      <c r="E82">
        <v>156</v>
      </c>
      <c r="F82">
        <v>0</v>
      </c>
      <c r="G82">
        <v>52</v>
      </c>
      <c r="H82">
        <v>8112</v>
      </c>
      <c r="I82" t="s">
        <v>14</v>
      </c>
    </row>
    <row r="83" spans="1:9" x14ac:dyDescent="0.3">
      <c r="A83" t="s">
        <v>28</v>
      </c>
      <c r="B83" t="s">
        <v>10</v>
      </c>
      <c r="C83" t="s">
        <v>17</v>
      </c>
      <c r="D83">
        <v>32</v>
      </c>
      <c r="E83">
        <v>47</v>
      </c>
      <c r="F83">
        <v>10</v>
      </c>
      <c r="G83">
        <v>147</v>
      </c>
      <c r="H83">
        <v>5439</v>
      </c>
      <c r="I83" t="s">
        <v>12</v>
      </c>
    </row>
    <row r="84" spans="1:9" x14ac:dyDescent="0.3">
      <c r="A84" t="s">
        <v>29</v>
      </c>
      <c r="B84" t="s">
        <v>19</v>
      </c>
      <c r="C84" t="s">
        <v>11</v>
      </c>
      <c r="D84">
        <v>55</v>
      </c>
      <c r="E84">
        <v>60</v>
      </c>
      <c r="F84">
        <v>5</v>
      </c>
      <c r="G84">
        <v>208</v>
      </c>
      <c r="H84">
        <v>11440</v>
      </c>
      <c r="I84" t="s">
        <v>12</v>
      </c>
    </row>
    <row r="85" spans="1:9" x14ac:dyDescent="0.3">
      <c r="A85" t="s">
        <v>26</v>
      </c>
      <c r="B85" t="s">
        <v>27</v>
      </c>
      <c r="C85" t="s">
        <v>24</v>
      </c>
      <c r="D85">
        <v>37</v>
      </c>
      <c r="E85">
        <v>52</v>
      </c>
      <c r="F85">
        <v>10</v>
      </c>
      <c r="G85">
        <v>163</v>
      </c>
      <c r="H85">
        <v>6846</v>
      </c>
      <c r="I85" t="s">
        <v>12</v>
      </c>
    </row>
    <row r="86" spans="1:9" x14ac:dyDescent="0.3">
      <c r="A86" t="s">
        <v>26</v>
      </c>
      <c r="B86" t="s">
        <v>27</v>
      </c>
      <c r="C86" t="s">
        <v>17</v>
      </c>
      <c r="D86">
        <v>170</v>
      </c>
      <c r="E86">
        <v>175</v>
      </c>
      <c r="F86">
        <v>5</v>
      </c>
      <c r="G86">
        <v>294</v>
      </c>
      <c r="H86">
        <v>49980</v>
      </c>
      <c r="I86" t="s">
        <v>12</v>
      </c>
    </row>
    <row r="87" spans="1:9" x14ac:dyDescent="0.3">
      <c r="A87" t="s">
        <v>15</v>
      </c>
      <c r="B87" t="s">
        <v>16</v>
      </c>
      <c r="C87" t="s">
        <v>13</v>
      </c>
      <c r="D87">
        <v>29</v>
      </c>
      <c r="E87">
        <v>29</v>
      </c>
      <c r="F87">
        <v>0</v>
      </c>
      <c r="G87">
        <v>132</v>
      </c>
      <c r="H87">
        <v>3828</v>
      </c>
      <c r="I87" t="s">
        <v>12</v>
      </c>
    </row>
    <row r="88" spans="1:9" x14ac:dyDescent="0.3">
      <c r="A88" t="s">
        <v>28</v>
      </c>
      <c r="B88" t="s">
        <v>10</v>
      </c>
      <c r="C88" t="s">
        <v>11</v>
      </c>
      <c r="D88">
        <v>57</v>
      </c>
      <c r="E88">
        <v>57</v>
      </c>
      <c r="F88">
        <v>5</v>
      </c>
      <c r="G88">
        <v>247</v>
      </c>
      <c r="H88">
        <v>12844</v>
      </c>
      <c r="I88" t="s">
        <v>12</v>
      </c>
    </row>
    <row r="89" spans="1:9" x14ac:dyDescent="0.3">
      <c r="A89" t="s">
        <v>28</v>
      </c>
      <c r="B89" t="s">
        <v>10</v>
      </c>
      <c r="C89" t="s">
        <v>24</v>
      </c>
      <c r="D89">
        <v>179</v>
      </c>
      <c r="E89">
        <v>194</v>
      </c>
      <c r="F89">
        <v>10</v>
      </c>
      <c r="G89">
        <v>257</v>
      </c>
      <c r="H89">
        <v>47288</v>
      </c>
      <c r="I89" t="s">
        <v>12</v>
      </c>
    </row>
    <row r="90" spans="1:9" x14ac:dyDescent="0.3">
      <c r="A90" t="s">
        <v>20</v>
      </c>
      <c r="B90" t="s">
        <v>16</v>
      </c>
      <c r="C90" t="s">
        <v>13</v>
      </c>
      <c r="D90">
        <v>63</v>
      </c>
      <c r="E90">
        <v>73</v>
      </c>
      <c r="F90">
        <v>5</v>
      </c>
      <c r="G90">
        <v>67</v>
      </c>
      <c r="H90">
        <v>4556</v>
      </c>
      <c r="I90" t="s">
        <v>12</v>
      </c>
    </row>
    <row r="91" spans="1:9" x14ac:dyDescent="0.3">
      <c r="A91" t="s">
        <v>20</v>
      </c>
      <c r="B91" t="s">
        <v>16</v>
      </c>
      <c r="C91" t="s">
        <v>17</v>
      </c>
      <c r="D91">
        <v>136</v>
      </c>
      <c r="E91">
        <v>136</v>
      </c>
      <c r="F91">
        <v>10</v>
      </c>
      <c r="G91">
        <v>286</v>
      </c>
      <c r="H91">
        <v>36036</v>
      </c>
      <c r="I91" t="s">
        <v>12</v>
      </c>
    </row>
    <row r="92" spans="1:9" x14ac:dyDescent="0.3">
      <c r="A92" t="s">
        <v>20</v>
      </c>
      <c r="B92" t="s">
        <v>16</v>
      </c>
      <c r="C92" t="s">
        <v>17</v>
      </c>
      <c r="D92">
        <v>165</v>
      </c>
      <c r="E92">
        <v>175</v>
      </c>
      <c r="F92">
        <v>5</v>
      </c>
      <c r="G92">
        <v>211</v>
      </c>
      <c r="H92">
        <v>35870</v>
      </c>
      <c r="I92" t="s">
        <v>12</v>
      </c>
    </row>
    <row r="93" spans="1:9" x14ac:dyDescent="0.3">
      <c r="A93" t="s">
        <v>29</v>
      </c>
      <c r="B93" t="s">
        <v>19</v>
      </c>
      <c r="C93" t="s">
        <v>25</v>
      </c>
      <c r="D93">
        <v>50</v>
      </c>
      <c r="E93">
        <v>60</v>
      </c>
      <c r="F93">
        <v>10</v>
      </c>
      <c r="G93">
        <v>270</v>
      </c>
      <c r="H93">
        <v>13500</v>
      </c>
      <c r="I93" t="s">
        <v>12</v>
      </c>
    </row>
    <row r="94" spans="1:9" x14ac:dyDescent="0.3">
      <c r="A94" t="s">
        <v>31</v>
      </c>
      <c r="B94" t="s">
        <v>32</v>
      </c>
      <c r="C94" t="s">
        <v>25</v>
      </c>
      <c r="D94">
        <v>180</v>
      </c>
      <c r="E94">
        <v>185</v>
      </c>
      <c r="F94">
        <v>10</v>
      </c>
      <c r="G94">
        <v>163</v>
      </c>
      <c r="H94">
        <v>28525</v>
      </c>
      <c r="I94" t="s">
        <v>12</v>
      </c>
    </row>
    <row r="95" spans="1:9" x14ac:dyDescent="0.3">
      <c r="A95" t="s">
        <v>18</v>
      </c>
      <c r="B95" t="s">
        <v>19</v>
      </c>
      <c r="C95" t="s">
        <v>17</v>
      </c>
      <c r="D95">
        <v>32</v>
      </c>
      <c r="E95">
        <v>47</v>
      </c>
      <c r="F95">
        <v>10</v>
      </c>
      <c r="G95">
        <v>120</v>
      </c>
      <c r="H95">
        <v>4440</v>
      </c>
      <c r="I95" t="s">
        <v>12</v>
      </c>
    </row>
    <row r="96" spans="1:9" x14ac:dyDescent="0.3">
      <c r="A96" t="s">
        <v>15</v>
      </c>
      <c r="B96" t="s">
        <v>16</v>
      </c>
      <c r="C96" t="s">
        <v>13</v>
      </c>
      <c r="D96">
        <v>97</v>
      </c>
      <c r="E96">
        <v>112</v>
      </c>
      <c r="F96">
        <v>0</v>
      </c>
      <c r="G96">
        <v>187</v>
      </c>
      <c r="H96">
        <v>20944</v>
      </c>
      <c r="I96" t="s">
        <v>12</v>
      </c>
    </row>
    <row r="97" spans="1:9" x14ac:dyDescent="0.3">
      <c r="A97" t="s">
        <v>18</v>
      </c>
      <c r="B97" t="s">
        <v>19</v>
      </c>
      <c r="C97" t="s">
        <v>11</v>
      </c>
      <c r="D97">
        <v>181</v>
      </c>
      <c r="E97">
        <v>186</v>
      </c>
      <c r="F97">
        <v>0</v>
      </c>
      <c r="G97">
        <v>54</v>
      </c>
      <c r="H97">
        <v>10044</v>
      </c>
      <c r="I97" t="s">
        <v>12</v>
      </c>
    </row>
    <row r="98" spans="1:9" x14ac:dyDescent="0.3">
      <c r="A98" t="s">
        <v>18</v>
      </c>
      <c r="B98" t="s">
        <v>19</v>
      </c>
      <c r="C98" t="s">
        <v>21</v>
      </c>
      <c r="D98">
        <v>184</v>
      </c>
      <c r="E98">
        <v>194</v>
      </c>
      <c r="F98">
        <v>10</v>
      </c>
      <c r="G98">
        <v>86</v>
      </c>
      <c r="H98">
        <v>15824</v>
      </c>
      <c r="I98" t="s">
        <v>12</v>
      </c>
    </row>
    <row r="99" spans="1:9" x14ac:dyDescent="0.3">
      <c r="A99" t="s">
        <v>18</v>
      </c>
      <c r="B99" t="s">
        <v>19</v>
      </c>
      <c r="C99" t="s">
        <v>13</v>
      </c>
      <c r="D99">
        <v>57</v>
      </c>
      <c r="E99">
        <v>62</v>
      </c>
      <c r="F99">
        <v>10</v>
      </c>
      <c r="G99">
        <v>236</v>
      </c>
      <c r="H99">
        <v>12272</v>
      </c>
      <c r="I99" t="s">
        <v>12</v>
      </c>
    </row>
    <row r="100" spans="1:9" x14ac:dyDescent="0.3">
      <c r="A100" t="s">
        <v>29</v>
      </c>
      <c r="B100" t="s">
        <v>19</v>
      </c>
      <c r="C100" t="s">
        <v>24</v>
      </c>
      <c r="D100">
        <v>50</v>
      </c>
      <c r="E100">
        <v>50</v>
      </c>
      <c r="F100">
        <v>5</v>
      </c>
      <c r="G100">
        <v>163</v>
      </c>
      <c r="H100">
        <v>7335</v>
      </c>
      <c r="I100" t="s">
        <v>14</v>
      </c>
    </row>
    <row r="101" spans="1:9" x14ac:dyDescent="0.3">
      <c r="A101" t="s">
        <v>28</v>
      </c>
      <c r="B101" t="s">
        <v>10</v>
      </c>
      <c r="C101" t="s">
        <v>17</v>
      </c>
      <c r="D101">
        <v>115</v>
      </c>
      <c r="E101">
        <v>120</v>
      </c>
      <c r="F101">
        <v>0</v>
      </c>
      <c r="G101">
        <v>122</v>
      </c>
      <c r="H101">
        <v>14640</v>
      </c>
      <c r="I101" t="s">
        <v>12</v>
      </c>
    </row>
    <row r="102" spans="1:9" x14ac:dyDescent="0.3">
      <c r="A102" t="s">
        <v>15</v>
      </c>
      <c r="B102" t="s">
        <v>16</v>
      </c>
      <c r="C102" t="s">
        <v>24</v>
      </c>
      <c r="D102">
        <v>120</v>
      </c>
      <c r="E102">
        <v>135</v>
      </c>
      <c r="F102">
        <v>0</v>
      </c>
      <c r="G102">
        <v>138</v>
      </c>
      <c r="H102">
        <v>18630</v>
      </c>
      <c r="I102" t="s">
        <v>14</v>
      </c>
    </row>
    <row r="103" spans="1:9" x14ac:dyDescent="0.3">
      <c r="A103" t="s">
        <v>18</v>
      </c>
      <c r="B103" t="s">
        <v>19</v>
      </c>
      <c r="C103" t="s">
        <v>11</v>
      </c>
      <c r="D103">
        <v>125</v>
      </c>
      <c r="E103">
        <v>125</v>
      </c>
      <c r="F103">
        <v>0</v>
      </c>
      <c r="G103">
        <v>146</v>
      </c>
      <c r="H103">
        <v>18250</v>
      </c>
      <c r="I103" t="s">
        <v>14</v>
      </c>
    </row>
    <row r="104" spans="1:9" x14ac:dyDescent="0.3">
      <c r="A104" t="s">
        <v>30</v>
      </c>
      <c r="B104" t="s">
        <v>10</v>
      </c>
      <c r="C104" t="s">
        <v>24</v>
      </c>
      <c r="D104">
        <v>148</v>
      </c>
      <c r="E104">
        <v>153</v>
      </c>
      <c r="F104">
        <v>0</v>
      </c>
      <c r="G104">
        <v>171</v>
      </c>
      <c r="H104">
        <v>26163</v>
      </c>
      <c r="I104" t="s">
        <v>14</v>
      </c>
    </row>
    <row r="105" spans="1:9" x14ac:dyDescent="0.3">
      <c r="A105" t="s">
        <v>15</v>
      </c>
      <c r="B105" t="s">
        <v>16</v>
      </c>
      <c r="C105" t="s">
        <v>17</v>
      </c>
      <c r="D105">
        <v>73</v>
      </c>
      <c r="E105">
        <v>78</v>
      </c>
      <c r="F105">
        <v>5</v>
      </c>
      <c r="G105">
        <v>82</v>
      </c>
      <c r="H105">
        <v>5986</v>
      </c>
      <c r="I105" t="s">
        <v>12</v>
      </c>
    </row>
    <row r="106" spans="1:9" x14ac:dyDescent="0.3">
      <c r="A106" t="s">
        <v>26</v>
      </c>
      <c r="B106" t="s">
        <v>27</v>
      </c>
      <c r="C106" t="s">
        <v>11</v>
      </c>
      <c r="D106">
        <v>31</v>
      </c>
      <c r="E106">
        <v>46</v>
      </c>
      <c r="F106">
        <v>10</v>
      </c>
      <c r="G106">
        <v>109</v>
      </c>
      <c r="H106">
        <v>3924</v>
      </c>
      <c r="I106" t="s">
        <v>12</v>
      </c>
    </row>
    <row r="107" spans="1:9" x14ac:dyDescent="0.3">
      <c r="A107" t="s">
        <v>22</v>
      </c>
      <c r="B107" t="s">
        <v>23</v>
      </c>
      <c r="C107" t="s">
        <v>21</v>
      </c>
      <c r="D107">
        <v>199</v>
      </c>
      <c r="E107">
        <v>204</v>
      </c>
      <c r="F107">
        <v>0</v>
      </c>
      <c r="G107">
        <v>269</v>
      </c>
      <c r="H107">
        <v>54876</v>
      </c>
      <c r="I107" t="s">
        <v>12</v>
      </c>
    </row>
    <row r="108" spans="1:9" x14ac:dyDescent="0.3">
      <c r="A108" t="s">
        <v>18</v>
      </c>
      <c r="B108" t="s">
        <v>19</v>
      </c>
      <c r="C108" t="s">
        <v>17</v>
      </c>
      <c r="D108">
        <v>184</v>
      </c>
      <c r="E108">
        <v>199</v>
      </c>
      <c r="F108">
        <v>5</v>
      </c>
      <c r="G108">
        <v>69</v>
      </c>
      <c r="H108">
        <v>13386</v>
      </c>
      <c r="I108" t="s">
        <v>12</v>
      </c>
    </row>
    <row r="109" spans="1:9" x14ac:dyDescent="0.3">
      <c r="A109" t="s">
        <v>31</v>
      </c>
      <c r="B109" t="s">
        <v>32</v>
      </c>
      <c r="C109" t="s">
        <v>17</v>
      </c>
      <c r="D109">
        <v>151</v>
      </c>
      <c r="E109">
        <v>151</v>
      </c>
      <c r="F109">
        <v>0</v>
      </c>
      <c r="G109">
        <v>57</v>
      </c>
      <c r="H109">
        <v>8607</v>
      </c>
      <c r="I109" t="s">
        <v>12</v>
      </c>
    </row>
    <row r="110" spans="1:9" x14ac:dyDescent="0.3">
      <c r="A110" t="s">
        <v>15</v>
      </c>
      <c r="B110" t="s">
        <v>16</v>
      </c>
      <c r="C110" t="s">
        <v>17</v>
      </c>
      <c r="D110">
        <v>23</v>
      </c>
      <c r="E110">
        <v>28</v>
      </c>
      <c r="F110">
        <v>5</v>
      </c>
      <c r="G110">
        <v>276</v>
      </c>
      <c r="H110">
        <v>6348</v>
      </c>
      <c r="I110" t="s">
        <v>14</v>
      </c>
    </row>
    <row r="111" spans="1:9" x14ac:dyDescent="0.3">
      <c r="A111" t="s">
        <v>29</v>
      </c>
      <c r="B111" t="s">
        <v>19</v>
      </c>
      <c r="C111" t="s">
        <v>21</v>
      </c>
      <c r="D111">
        <v>83</v>
      </c>
      <c r="E111">
        <v>93</v>
      </c>
      <c r="F111">
        <v>10</v>
      </c>
      <c r="G111">
        <v>148</v>
      </c>
      <c r="H111">
        <v>12284</v>
      </c>
      <c r="I111" t="s">
        <v>12</v>
      </c>
    </row>
    <row r="112" spans="1:9" x14ac:dyDescent="0.3">
      <c r="A112" t="s">
        <v>18</v>
      </c>
      <c r="B112" t="s">
        <v>19</v>
      </c>
      <c r="C112" t="s">
        <v>24</v>
      </c>
      <c r="D112">
        <v>138</v>
      </c>
      <c r="E112">
        <v>153</v>
      </c>
      <c r="F112">
        <v>10</v>
      </c>
      <c r="G112">
        <v>182</v>
      </c>
      <c r="H112">
        <v>26026</v>
      </c>
      <c r="I112" t="s">
        <v>12</v>
      </c>
    </row>
    <row r="113" spans="1:9" x14ac:dyDescent="0.3">
      <c r="A113" t="s">
        <v>28</v>
      </c>
      <c r="B113" t="s">
        <v>10</v>
      </c>
      <c r="C113" t="s">
        <v>24</v>
      </c>
      <c r="D113">
        <v>116</v>
      </c>
      <c r="E113">
        <v>131</v>
      </c>
      <c r="F113">
        <v>10</v>
      </c>
      <c r="G113">
        <v>283</v>
      </c>
      <c r="H113">
        <v>34243</v>
      </c>
      <c r="I113" t="s">
        <v>12</v>
      </c>
    </row>
    <row r="114" spans="1:9" x14ac:dyDescent="0.3">
      <c r="A114" t="s">
        <v>9</v>
      </c>
      <c r="B114" t="s">
        <v>10</v>
      </c>
      <c r="C114" t="s">
        <v>11</v>
      </c>
      <c r="D114">
        <v>98</v>
      </c>
      <c r="E114">
        <v>113</v>
      </c>
      <c r="F114">
        <v>10</v>
      </c>
      <c r="G114">
        <v>233</v>
      </c>
      <c r="H114">
        <v>23999</v>
      </c>
      <c r="I114" t="s">
        <v>12</v>
      </c>
    </row>
    <row r="115" spans="1:9" x14ac:dyDescent="0.3">
      <c r="A115" t="s">
        <v>28</v>
      </c>
      <c r="B115" t="s">
        <v>10</v>
      </c>
      <c r="C115" t="s">
        <v>21</v>
      </c>
      <c r="D115">
        <v>176</v>
      </c>
      <c r="E115">
        <v>186</v>
      </c>
      <c r="F115">
        <v>0</v>
      </c>
      <c r="G115">
        <v>150</v>
      </c>
      <c r="H115">
        <v>27900</v>
      </c>
      <c r="I115" t="s">
        <v>12</v>
      </c>
    </row>
    <row r="116" spans="1:9" x14ac:dyDescent="0.3">
      <c r="A116" t="s">
        <v>31</v>
      </c>
      <c r="B116" t="s">
        <v>32</v>
      </c>
      <c r="C116" t="s">
        <v>17</v>
      </c>
      <c r="D116">
        <v>65</v>
      </c>
      <c r="E116">
        <v>75</v>
      </c>
      <c r="F116">
        <v>5</v>
      </c>
      <c r="G116">
        <v>168</v>
      </c>
      <c r="H116">
        <v>11760</v>
      </c>
      <c r="I116" t="s">
        <v>12</v>
      </c>
    </row>
    <row r="117" spans="1:9" x14ac:dyDescent="0.3">
      <c r="A117" t="s">
        <v>18</v>
      </c>
      <c r="B117" t="s">
        <v>19</v>
      </c>
      <c r="C117" t="s">
        <v>17</v>
      </c>
      <c r="D117">
        <v>48</v>
      </c>
      <c r="E117">
        <v>53</v>
      </c>
      <c r="F117">
        <v>0</v>
      </c>
      <c r="G117">
        <v>192</v>
      </c>
      <c r="H117">
        <v>10176</v>
      </c>
      <c r="I117" t="s">
        <v>12</v>
      </c>
    </row>
    <row r="118" spans="1:9" x14ac:dyDescent="0.3">
      <c r="A118" t="s">
        <v>29</v>
      </c>
      <c r="B118" t="s">
        <v>19</v>
      </c>
      <c r="C118" t="s">
        <v>13</v>
      </c>
      <c r="D118">
        <v>101</v>
      </c>
      <c r="E118">
        <v>101</v>
      </c>
      <c r="F118">
        <v>5</v>
      </c>
      <c r="G118">
        <v>294</v>
      </c>
      <c r="H118">
        <v>28224</v>
      </c>
      <c r="I118" t="s">
        <v>14</v>
      </c>
    </row>
    <row r="119" spans="1:9" x14ac:dyDescent="0.3">
      <c r="A119" t="s">
        <v>30</v>
      </c>
      <c r="B119" t="s">
        <v>10</v>
      </c>
      <c r="C119" t="s">
        <v>24</v>
      </c>
      <c r="D119">
        <v>75</v>
      </c>
      <c r="E119">
        <v>90</v>
      </c>
      <c r="F119">
        <v>10</v>
      </c>
      <c r="G119">
        <v>55</v>
      </c>
      <c r="H119">
        <v>4400</v>
      </c>
      <c r="I119" t="s">
        <v>12</v>
      </c>
    </row>
    <row r="120" spans="1:9" x14ac:dyDescent="0.3">
      <c r="A120" t="s">
        <v>9</v>
      </c>
      <c r="B120" t="s">
        <v>10</v>
      </c>
      <c r="C120" t="s">
        <v>24</v>
      </c>
      <c r="D120">
        <v>132</v>
      </c>
      <c r="E120">
        <v>132</v>
      </c>
      <c r="F120">
        <v>0</v>
      </c>
      <c r="G120">
        <v>255</v>
      </c>
      <c r="H120">
        <v>33660</v>
      </c>
      <c r="I120" t="s">
        <v>12</v>
      </c>
    </row>
    <row r="121" spans="1:9" x14ac:dyDescent="0.3">
      <c r="A121" t="s">
        <v>30</v>
      </c>
      <c r="B121" t="s">
        <v>10</v>
      </c>
      <c r="C121" t="s">
        <v>17</v>
      </c>
      <c r="D121">
        <v>140</v>
      </c>
      <c r="E121">
        <v>155</v>
      </c>
      <c r="F121">
        <v>10</v>
      </c>
      <c r="G121">
        <v>85</v>
      </c>
      <c r="H121">
        <v>12325</v>
      </c>
      <c r="I121" t="s">
        <v>12</v>
      </c>
    </row>
    <row r="122" spans="1:9" x14ac:dyDescent="0.3">
      <c r="A122" t="s">
        <v>31</v>
      </c>
      <c r="B122" t="s">
        <v>32</v>
      </c>
      <c r="C122" t="s">
        <v>11</v>
      </c>
      <c r="D122">
        <v>87</v>
      </c>
      <c r="E122">
        <v>87</v>
      </c>
      <c r="F122">
        <v>10</v>
      </c>
      <c r="G122">
        <v>199</v>
      </c>
      <c r="H122">
        <v>15323</v>
      </c>
      <c r="I122" t="s">
        <v>12</v>
      </c>
    </row>
    <row r="123" spans="1:9" x14ac:dyDescent="0.3">
      <c r="A123" t="s">
        <v>30</v>
      </c>
      <c r="B123" t="s">
        <v>10</v>
      </c>
      <c r="C123" t="s">
        <v>17</v>
      </c>
      <c r="D123">
        <v>187</v>
      </c>
      <c r="E123">
        <v>187</v>
      </c>
      <c r="F123">
        <v>0</v>
      </c>
      <c r="G123">
        <v>131</v>
      </c>
      <c r="H123">
        <v>24497</v>
      </c>
      <c r="I123" t="s">
        <v>12</v>
      </c>
    </row>
    <row r="124" spans="1:9" x14ac:dyDescent="0.3">
      <c r="A124" t="s">
        <v>22</v>
      </c>
      <c r="B124" t="s">
        <v>23</v>
      </c>
      <c r="C124" t="s">
        <v>24</v>
      </c>
      <c r="D124">
        <v>156</v>
      </c>
      <c r="E124">
        <v>166</v>
      </c>
      <c r="F124">
        <v>10</v>
      </c>
      <c r="G124">
        <v>144</v>
      </c>
      <c r="H124">
        <v>22464</v>
      </c>
      <c r="I124" t="s">
        <v>12</v>
      </c>
    </row>
    <row r="125" spans="1:9" x14ac:dyDescent="0.3">
      <c r="A125" t="s">
        <v>26</v>
      </c>
      <c r="B125" t="s">
        <v>27</v>
      </c>
      <c r="C125" t="s">
        <v>24</v>
      </c>
      <c r="D125">
        <v>174</v>
      </c>
      <c r="E125">
        <v>189</v>
      </c>
      <c r="F125">
        <v>5</v>
      </c>
      <c r="G125">
        <v>162</v>
      </c>
      <c r="H125">
        <v>29808</v>
      </c>
      <c r="I125" t="s">
        <v>12</v>
      </c>
    </row>
    <row r="126" spans="1:9" x14ac:dyDescent="0.3">
      <c r="A126" t="s">
        <v>22</v>
      </c>
      <c r="B126" t="s">
        <v>23</v>
      </c>
      <c r="C126" t="s">
        <v>24</v>
      </c>
      <c r="D126">
        <v>135</v>
      </c>
      <c r="E126">
        <v>145</v>
      </c>
      <c r="F126">
        <v>10</v>
      </c>
      <c r="G126">
        <v>71</v>
      </c>
      <c r="H126">
        <v>9585</v>
      </c>
      <c r="I126" t="s">
        <v>12</v>
      </c>
    </row>
    <row r="127" spans="1:9" x14ac:dyDescent="0.3">
      <c r="A127" t="s">
        <v>31</v>
      </c>
      <c r="B127" t="s">
        <v>32</v>
      </c>
      <c r="C127" t="s">
        <v>17</v>
      </c>
      <c r="D127">
        <v>77</v>
      </c>
      <c r="E127">
        <v>92</v>
      </c>
      <c r="F127">
        <v>10</v>
      </c>
      <c r="G127">
        <v>50</v>
      </c>
      <c r="H127">
        <v>4100</v>
      </c>
      <c r="I127" t="s">
        <v>12</v>
      </c>
    </row>
    <row r="128" spans="1:9" x14ac:dyDescent="0.3">
      <c r="A128" t="s">
        <v>29</v>
      </c>
      <c r="B128" t="s">
        <v>19</v>
      </c>
      <c r="C128" t="s">
        <v>25</v>
      </c>
      <c r="D128">
        <v>80</v>
      </c>
      <c r="E128">
        <v>90</v>
      </c>
      <c r="F128">
        <v>5</v>
      </c>
      <c r="G128">
        <v>249</v>
      </c>
      <c r="H128">
        <v>21165</v>
      </c>
      <c r="I128" t="s">
        <v>12</v>
      </c>
    </row>
    <row r="129" spans="1:9" x14ac:dyDescent="0.3">
      <c r="A129" t="s">
        <v>31</v>
      </c>
      <c r="B129" t="s">
        <v>32</v>
      </c>
      <c r="C129" t="s">
        <v>17</v>
      </c>
      <c r="D129">
        <v>84</v>
      </c>
      <c r="E129">
        <v>84</v>
      </c>
      <c r="F129">
        <v>10</v>
      </c>
      <c r="G129">
        <v>272</v>
      </c>
      <c r="H129">
        <v>20128</v>
      </c>
      <c r="I129" t="s">
        <v>12</v>
      </c>
    </row>
    <row r="130" spans="1:9" x14ac:dyDescent="0.3">
      <c r="A130" t="s">
        <v>26</v>
      </c>
      <c r="B130" t="s">
        <v>27</v>
      </c>
      <c r="C130" t="s">
        <v>25</v>
      </c>
      <c r="D130">
        <v>94</v>
      </c>
      <c r="E130">
        <v>94</v>
      </c>
      <c r="F130">
        <v>5</v>
      </c>
      <c r="G130">
        <v>219</v>
      </c>
      <c r="H130">
        <v>19491</v>
      </c>
      <c r="I130" t="s">
        <v>14</v>
      </c>
    </row>
    <row r="131" spans="1:9" x14ac:dyDescent="0.3">
      <c r="A131" t="s">
        <v>26</v>
      </c>
      <c r="B131" t="s">
        <v>27</v>
      </c>
      <c r="C131" t="s">
        <v>24</v>
      </c>
      <c r="D131">
        <v>88</v>
      </c>
      <c r="E131">
        <v>103</v>
      </c>
      <c r="F131">
        <v>0</v>
      </c>
      <c r="G131">
        <v>237</v>
      </c>
      <c r="H131">
        <v>24411</v>
      </c>
      <c r="I131" t="s">
        <v>14</v>
      </c>
    </row>
    <row r="132" spans="1:9" x14ac:dyDescent="0.3">
      <c r="A132" t="s">
        <v>22</v>
      </c>
      <c r="B132" t="s">
        <v>23</v>
      </c>
      <c r="C132" t="s">
        <v>13</v>
      </c>
      <c r="D132">
        <v>169</v>
      </c>
      <c r="E132">
        <v>184</v>
      </c>
      <c r="F132">
        <v>10</v>
      </c>
      <c r="G132">
        <v>267</v>
      </c>
      <c r="H132">
        <v>46458</v>
      </c>
      <c r="I132" t="s">
        <v>12</v>
      </c>
    </row>
    <row r="133" spans="1:9" x14ac:dyDescent="0.3">
      <c r="A133" t="s">
        <v>28</v>
      </c>
      <c r="B133" t="s">
        <v>10</v>
      </c>
      <c r="C133" t="s">
        <v>21</v>
      </c>
      <c r="D133">
        <v>101</v>
      </c>
      <c r="E133">
        <v>101</v>
      </c>
      <c r="F133">
        <v>0</v>
      </c>
      <c r="G133">
        <v>107</v>
      </c>
      <c r="H133">
        <v>10807</v>
      </c>
      <c r="I133" t="s">
        <v>12</v>
      </c>
    </row>
    <row r="134" spans="1:9" x14ac:dyDescent="0.3">
      <c r="A134" t="s">
        <v>20</v>
      </c>
      <c r="B134" t="s">
        <v>16</v>
      </c>
      <c r="C134" t="s">
        <v>17</v>
      </c>
      <c r="D134">
        <v>141</v>
      </c>
      <c r="E134">
        <v>141</v>
      </c>
      <c r="F134">
        <v>0</v>
      </c>
      <c r="G134">
        <v>150</v>
      </c>
      <c r="H134">
        <v>21150</v>
      </c>
      <c r="I134" t="s">
        <v>14</v>
      </c>
    </row>
    <row r="135" spans="1:9" x14ac:dyDescent="0.3">
      <c r="A135" t="s">
        <v>20</v>
      </c>
      <c r="B135" t="s">
        <v>16</v>
      </c>
      <c r="C135" t="s">
        <v>17</v>
      </c>
      <c r="D135">
        <v>78</v>
      </c>
      <c r="E135">
        <v>93</v>
      </c>
      <c r="F135">
        <v>0</v>
      </c>
      <c r="G135">
        <v>255</v>
      </c>
      <c r="H135">
        <v>23715</v>
      </c>
      <c r="I135" t="s">
        <v>12</v>
      </c>
    </row>
    <row r="136" spans="1:9" x14ac:dyDescent="0.3">
      <c r="A136" t="s">
        <v>9</v>
      </c>
      <c r="B136" t="s">
        <v>10</v>
      </c>
      <c r="C136" t="s">
        <v>11</v>
      </c>
      <c r="D136">
        <v>181</v>
      </c>
      <c r="E136">
        <v>186</v>
      </c>
      <c r="F136">
        <v>5</v>
      </c>
      <c r="G136">
        <v>88</v>
      </c>
      <c r="H136">
        <v>15928</v>
      </c>
      <c r="I136" t="s">
        <v>12</v>
      </c>
    </row>
    <row r="137" spans="1:9" x14ac:dyDescent="0.3">
      <c r="A137" t="s">
        <v>30</v>
      </c>
      <c r="B137" t="s">
        <v>10</v>
      </c>
      <c r="C137" t="s">
        <v>11</v>
      </c>
      <c r="D137">
        <v>134</v>
      </c>
      <c r="E137">
        <v>144</v>
      </c>
      <c r="F137">
        <v>0</v>
      </c>
      <c r="G137">
        <v>206</v>
      </c>
      <c r="H137">
        <v>29664</v>
      </c>
      <c r="I137" t="s">
        <v>12</v>
      </c>
    </row>
    <row r="138" spans="1:9" x14ac:dyDescent="0.3">
      <c r="A138" t="s">
        <v>18</v>
      </c>
      <c r="B138" t="s">
        <v>19</v>
      </c>
      <c r="C138" t="s">
        <v>25</v>
      </c>
      <c r="D138">
        <v>147</v>
      </c>
      <c r="E138">
        <v>152</v>
      </c>
      <c r="F138">
        <v>10</v>
      </c>
      <c r="G138">
        <v>122</v>
      </c>
      <c r="H138">
        <v>17324</v>
      </c>
      <c r="I138" t="s">
        <v>14</v>
      </c>
    </row>
    <row r="139" spans="1:9" x14ac:dyDescent="0.3">
      <c r="A139" t="s">
        <v>31</v>
      </c>
      <c r="B139" t="s">
        <v>32</v>
      </c>
      <c r="C139" t="s">
        <v>13</v>
      </c>
      <c r="D139">
        <v>27</v>
      </c>
      <c r="E139">
        <v>42</v>
      </c>
      <c r="F139">
        <v>10</v>
      </c>
      <c r="G139">
        <v>296</v>
      </c>
      <c r="H139">
        <v>9472</v>
      </c>
      <c r="I139" t="s">
        <v>12</v>
      </c>
    </row>
    <row r="140" spans="1:9" x14ac:dyDescent="0.3">
      <c r="A140" t="s">
        <v>31</v>
      </c>
      <c r="B140" t="s">
        <v>32</v>
      </c>
      <c r="C140" t="s">
        <v>21</v>
      </c>
      <c r="D140">
        <v>97</v>
      </c>
      <c r="E140">
        <v>107</v>
      </c>
      <c r="F140">
        <v>0</v>
      </c>
      <c r="G140">
        <v>55</v>
      </c>
      <c r="H140">
        <v>5885</v>
      </c>
      <c r="I140" t="s">
        <v>14</v>
      </c>
    </row>
    <row r="141" spans="1:9" x14ac:dyDescent="0.3">
      <c r="A141" t="s">
        <v>29</v>
      </c>
      <c r="B141" t="s">
        <v>19</v>
      </c>
      <c r="C141" t="s">
        <v>24</v>
      </c>
      <c r="D141">
        <v>183</v>
      </c>
      <c r="E141">
        <v>183</v>
      </c>
      <c r="F141">
        <v>0</v>
      </c>
      <c r="G141">
        <v>132</v>
      </c>
      <c r="H141">
        <v>24156</v>
      </c>
      <c r="I141" t="s">
        <v>12</v>
      </c>
    </row>
    <row r="142" spans="1:9" x14ac:dyDescent="0.3">
      <c r="A142" t="s">
        <v>29</v>
      </c>
      <c r="B142" t="s">
        <v>19</v>
      </c>
      <c r="C142" t="s">
        <v>25</v>
      </c>
      <c r="D142">
        <v>187</v>
      </c>
      <c r="E142">
        <v>202</v>
      </c>
      <c r="F142">
        <v>0</v>
      </c>
      <c r="G142">
        <v>124</v>
      </c>
      <c r="H142">
        <v>25048</v>
      </c>
      <c r="I142" t="s">
        <v>14</v>
      </c>
    </row>
    <row r="143" spans="1:9" x14ac:dyDescent="0.3">
      <c r="A143" t="s">
        <v>30</v>
      </c>
      <c r="B143" t="s">
        <v>10</v>
      </c>
      <c r="C143" t="s">
        <v>11</v>
      </c>
      <c r="D143">
        <v>64</v>
      </c>
      <c r="E143">
        <v>64</v>
      </c>
      <c r="F143">
        <v>10</v>
      </c>
      <c r="G143">
        <v>87</v>
      </c>
      <c r="H143">
        <v>4698</v>
      </c>
      <c r="I143" t="s">
        <v>12</v>
      </c>
    </row>
    <row r="144" spans="1:9" x14ac:dyDescent="0.3">
      <c r="A144" t="s">
        <v>30</v>
      </c>
      <c r="B144" t="s">
        <v>10</v>
      </c>
      <c r="C144" t="s">
        <v>17</v>
      </c>
      <c r="D144">
        <v>60</v>
      </c>
      <c r="E144">
        <v>65</v>
      </c>
      <c r="F144">
        <v>0</v>
      </c>
      <c r="G144">
        <v>246</v>
      </c>
      <c r="H144">
        <v>15990</v>
      </c>
      <c r="I144" t="s">
        <v>14</v>
      </c>
    </row>
    <row r="145" spans="1:9" x14ac:dyDescent="0.3">
      <c r="A145" t="s">
        <v>9</v>
      </c>
      <c r="B145" t="s">
        <v>10</v>
      </c>
      <c r="C145" t="s">
        <v>13</v>
      </c>
      <c r="D145">
        <v>81</v>
      </c>
      <c r="E145">
        <v>96</v>
      </c>
      <c r="F145">
        <v>5</v>
      </c>
      <c r="G145">
        <v>188</v>
      </c>
      <c r="H145">
        <v>17108</v>
      </c>
      <c r="I145" t="s">
        <v>12</v>
      </c>
    </row>
    <row r="146" spans="1:9" x14ac:dyDescent="0.3">
      <c r="A146" t="s">
        <v>18</v>
      </c>
      <c r="B146" t="s">
        <v>19</v>
      </c>
      <c r="C146" t="s">
        <v>21</v>
      </c>
      <c r="D146">
        <v>48</v>
      </c>
      <c r="E146">
        <v>63</v>
      </c>
      <c r="F146">
        <v>0</v>
      </c>
      <c r="G146">
        <v>52</v>
      </c>
      <c r="H146">
        <v>3276</v>
      </c>
      <c r="I146" t="s">
        <v>12</v>
      </c>
    </row>
    <row r="147" spans="1:9" x14ac:dyDescent="0.3">
      <c r="A147" t="s">
        <v>18</v>
      </c>
      <c r="B147" t="s">
        <v>19</v>
      </c>
      <c r="C147" t="s">
        <v>24</v>
      </c>
      <c r="D147">
        <v>44</v>
      </c>
      <c r="E147">
        <v>44</v>
      </c>
      <c r="F147">
        <v>5</v>
      </c>
      <c r="G147">
        <v>161</v>
      </c>
      <c r="H147">
        <v>6279</v>
      </c>
      <c r="I147" t="s">
        <v>14</v>
      </c>
    </row>
    <row r="148" spans="1:9" x14ac:dyDescent="0.3">
      <c r="A148" t="s">
        <v>22</v>
      </c>
      <c r="B148" t="s">
        <v>23</v>
      </c>
      <c r="C148" t="s">
        <v>21</v>
      </c>
      <c r="D148">
        <v>173</v>
      </c>
      <c r="E148">
        <v>188</v>
      </c>
      <c r="F148">
        <v>5</v>
      </c>
      <c r="G148">
        <v>86</v>
      </c>
      <c r="H148">
        <v>15738</v>
      </c>
      <c r="I148" t="s">
        <v>14</v>
      </c>
    </row>
    <row r="149" spans="1:9" x14ac:dyDescent="0.3">
      <c r="A149" t="s">
        <v>26</v>
      </c>
      <c r="B149" t="s">
        <v>27</v>
      </c>
      <c r="C149" t="s">
        <v>24</v>
      </c>
      <c r="D149">
        <v>42</v>
      </c>
      <c r="E149">
        <v>42</v>
      </c>
      <c r="F149">
        <v>10</v>
      </c>
      <c r="G149">
        <v>110</v>
      </c>
      <c r="H149">
        <v>3520</v>
      </c>
      <c r="I149" t="s">
        <v>12</v>
      </c>
    </row>
    <row r="150" spans="1:9" x14ac:dyDescent="0.3">
      <c r="A150" t="s">
        <v>30</v>
      </c>
      <c r="B150" t="s">
        <v>10</v>
      </c>
      <c r="C150" t="s">
        <v>21</v>
      </c>
      <c r="D150">
        <v>147</v>
      </c>
      <c r="E150">
        <v>147</v>
      </c>
      <c r="F150">
        <v>0</v>
      </c>
      <c r="G150">
        <v>284</v>
      </c>
      <c r="H150">
        <v>41748</v>
      </c>
      <c r="I150" t="s">
        <v>12</v>
      </c>
    </row>
    <row r="151" spans="1:9" x14ac:dyDescent="0.3">
      <c r="A151" t="s">
        <v>22</v>
      </c>
      <c r="B151" t="s">
        <v>23</v>
      </c>
      <c r="C151" t="s">
        <v>21</v>
      </c>
      <c r="D151">
        <v>44</v>
      </c>
      <c r="E151">
        <v>44</v>
      </c>
      <c r="F151">
        <v>10</v>
      </c>
      <c r="G151">
        <v>103</v>
      </c>
      <c r="H151">
        <v>3502</v>
      </c>
      <c r="I151" t="s">
        <v>12</v>
      </c>
    </row>
    <row r="152" spans="1:9" x14ac:dyDescent="0.3">
      <c r="A152" t="s">
        <v>29</v>
      </c>
      <c r="B152" t="s">
        <v>19</v>
      </c>
      <c r="C152" t="s">
        <v>21</v>
      </c>
      <c r="D152">
        <v>149</v>
      </c>
      <c r="E152">
        <v>159</v>
      </c>
      <c r="F152">
        <v>0</v>
      </c>
      <c r="G152">
        <v>93</v>
      </c>
      <c r="H152">
        <v>14787</v>
      </c>
      <c r="I152" t="s">
        <v>12</v>
      </c>
    </row>
    <row r="153" spans="1:9" x14ac:dyDescent="0.3">
      <c r="A153" t="s">
        <v>15</v>
      </c>
      <c r="B153" t="s">
        <v>16</v>
      </c>
      <c r="C153" t="s">
        <v>11</v>
      </c>
      <c r="D153">
        <v>42</v>
      </c>
      <c r="E153">
        <v>57</v>
      </c>
      <c r="F153">
        <v>5</v>
      </c>
      <c r="G153">
        <v>241</v>
      </c>
      <c r="H153">
        <v>12532</v>
      </c>
      <c r="I153" t="s">
        <v>12</v>
      </c>
    </row>
    <row r="154" spans="1:9" x14ac:dyDescent="0.3">
      <c r="A154" t="s">
        <v>22</v>
      </c>
      <c r="B154" t="s">
        <v>23</v>
      </c>
      <c r="C154" t="s">
        <v>21</v>
      </c>
      <c r="D154">
        <v>134</v>
      </c>
      <c r="E154">
        <v>134</v>
      </c>
      <c r="F154">
        <v>5</v>
      </c>
      <c r="G154">
        <v>82</v>
      </c>
      <c r="H154">
        <v>10578</v>
      </c>
      <c r="I154" t="s">
        <v>14</v>
      </c>
    </row>
    <row r="155" spans="1:9" x14ac:dyDescent="0.3">
      <c r="A155" t="s">
        <v>18</v>
      </c>
      <c r="B155" t="s">
        <v>19</v>
      </c>
      <c r="C155" t="s">
        <v>21</v>
      </c>
      <c r="D155">
        <v>67</v>
      </c>
      <c r="E155">
        <v>77</v>
      </c>
      <c r="F155">
        <v>5</v>
      </c>
      <c r="G155">
        <v>93</v>
      </c>
      <c r="H155">
        <v>6696</v>
      </c>
      <c r="I155" t="s">
        <v>12</v>
      </c>
    </row>
    <row r="156" spans="1:9" x14ac:dyDescent="0.3">
      <c r="A156" t="s">
        <v>22</v>
      </c>
      <c r="B156" t="s">
        <v>23</v>
      </c>
      <c r="C156" t="s">
        <v>25</v>
      </c>
      <c r="D156">
        <v>198</v>
      </c>
      <c r="E156">
        <v>198</v>
      </c>
      <c r="F156">
        <v>10</v>
      </c>
      <c r="G156">
        <v>172</v>
      </c>
      <c r="H156">
        <v>32336</v>
      </c>
      <c r="I156" t="s">
        <v>12</v>
      </c>
    </row>
    <row r="157" spans="1:9" x14ac:dyDescent="0.3">
      <c r="A157" t="s">
        <v>31</v>
      </c>
      <c r="B157" t="s">
        <v>32</v>
      </c>
      <c r="C157" t="s">
        <v>24</v>
      </c>
      <c r="D157">
        <v>141</v>
      </c>
      <c r="E157">
        <v>151</v>
      </c>
      <c r="F157">
        <v>5</v>
      </c>
      <c r="G157">
        <v>65</v>
      </c>
      <c r="H157">
        <v>9490</v>
      </c>
      <c r="I157" t="s">
        <v>14</v>
      </c>
    </row>
    <row r="158" spans="1:9" x14ac:dyDescent="0.3">
      <c r="A158" t="s">
        <v>26</v>
      </c>
      <c r="B158" t="s">
        <v>27</v>
      </c>
      <c r="C158" t="s">
        <v>13</v>
      </c>
      <c r="D158">
        <v>77</v>
      </c>
      <c r="E158">
        <v>77</v>
      </c>
      <c r="F158">
        <v>0</v>
      </c>
      <c r="G158">
        <v>89</v>
      </c>
      <c r="H158">
        <v>6853</v>
      </c>
      <c r="I158" t="s">
        <v>12</v>
      </c>
    </row>
    <row r="159" spans="1:9" x14ac:dyDescent="0.3">
      <c r="A159" t="s">
        <v>22</v>
      </c>
      <c r="B159" t="s">
        <v>23</v>
      </c>
      <c r="C159" t="s">
        <v>21</v>
      </c>
      <c r="D159">
        <v>80</v>
      </c>
      <c r="E159">
        <v>80</v>
      </c>
      <c r="F159">
        <v>5</v>
      </c>
      <c r="G159">
        <v>297</v>
      </c>
      <c r="H159">
        <v>22275</v>
      </c>
      <c r="I159" t="s">
        <v>12</v>
      </c>
    </row>
    <row r="160" spans="1:9" x14ac:dyDescent="0.3">
      <c r="A160" t="s">
        <v>28</v>
      </c>
      <c r="B160" t="s">
        <v>10</v>
      </c>
      <c r="C160" t="s">
        <v>11</v>
      </c>
      <c r="D160">
        <v>128</v>
      </c>
      <c r="E160">
        <v>128</v>
      </c>
      <c r="F160">
        <v>5</v>
      </c>
      <c r="G160">
        <v>263</v>
      </c>
      <c r="H160">
        <v>32349</v>
      </c>
      <c r="I160" t="s">
        <v>14</v>
      </c>
    </row>
    <row r="161" spans="1:9" x14ac:dyDescent="0.3">
      <c r="A161" t="s">
        <v>20</v>
      </c>
      <c r="B161" t="s">
        <v>16</v>
      </c>
      <c r="C161" t="s">
        <v>11</v>
      </c>
      <c r="D161">
        <v>67</v>
      </c>
      <c r="E161">
        <v>82</v>
      </c>
      <c r="F161">
        <v>10</v>
      </c>
      <c r="G161">
        <v>258</v>
      </c>
      <c r="H161">
        <v>18576</v>
      </c>
      <c r="I161" t="s">
        <v>12</v>
      </c>
    </row>
    <row r="162" spans="1:9" x14ac:dyDescent="0.3">
      <c r="A162" t="s">
        <v>29</v>
      </c>
      <c r="B162" t="s">
        <v>19</v>
      </c>
      <c r="C162" t="s">
        <v>24</v>
      </c>
      <c r="D162">
        <v>77</v>
      </c>
      <c r="E162">
        <v>82</v>
      </c>
      <c r="F162">
        <v>5</v>
      </c>
      <c r="G162">
        <v>87</v>
      </c>
      <c r="H162">
        <v>6699</v>
      </c>
      <c r="I162" t="s">
        <v>12</v>
      </c>
    </row>
    <row r="163" spans="1:9" x14ac:dyDescent="0.3">
      <c r="A163" t="s">
        <v>9</v>
      </c>
      <c r="B163" t="s">
        <v>10</v>
      </c>
      <c r="C163" t="s">
        <v>21</v>
      </c>
      <c r="D163">
        <v>142</v>
      </c>
      <c r="E163">
        <v>152</v>
      </c>
      <c r="F163">
        <v>0</v>
      </c>
      <c r="G163">
        <v>184</v>
      </c>
      <c r="H163">
        <v>27968</v>
      </c>
      <c r="I163" t="s">
        <v>12</v>
      </c>
    </row>
    <row r="164" spans="1:9" x14ac:dyDescent="0.3">
      <c r="A164" t="s">
        <v>15</v>
      </c>
      <c r="B164" t="s">
        <v>16</v>
      </c>
      <c r="C164" t="s">
        <v>25</v>
      </c>
      <c r="D164">
        <v>88</v>
      </c>
      <c r="E164">
        <v>103</v>
      </c>
      <c r="F164">
        <v>0</v>
      </c>
      <c r="G164">
        <v>56</v>
      </c>
      <c r="H164">
        <v>5768</v>
      </c>
      <c r="I164" t="s">
        <v>12</v>
      </c>
    </row>
    <row r="165" spans="1:9" x14ac:dyDescent="0.3">
      <c r="A165" t="s">
        <v>9</v>
      </c>
      <c r="B165" t="s">
        <v>10</v>
      </c>
      <c r="C165" t="s">
        <v>17</v>
      </c>
      <c r="D165">
        <v>167</v>
      </c>
      <c r="E165">
        <v>172</v>
      </c>
      <c r="F165">
        <v>5</v>
      </c>
      <c r="G165">
        <v>252</v>
      </c>
      <c r="H165">
        <v>42084</v>
      </c>
      <c r="I165" t="s">
        <v>12</v>
      </c>
    </row>
    <row r="166" spans="1:9" x14ac:dyDescent="0.3">
      <c r="A166" t="s">
        <v>20</v>
      </c>
      <c r="B166" t="s">
        <v>16</v>
      </c>
      <c r="C166" t="s">
        <v>17</v>
      </c>
      <c r="D166">
        <v>109</v>
      </c>
      <c r="E166">
        <v>119</v>
      </c>
      <c r="F166">
        <v>0</v>
      </c>
      <c r="G166">
        <v>161</v>
      </c>
      <c r="H166">
        <v>19159</v>
      </c>
      <c r="I166" t="s">
        <v>12</v>
      </c>
    </row>
    <row r="167" spans="1:9" x14ac:dyDescent="0.3">
      <c r="A167" t="s">
        <v>31</v>
      </c>
      <c r="B167" t="s">
        <v>32</v>
      </c>
      <c r="C167" t="s">
        <v>21</v>
      </c>
      <c r="D167">
        <v>161</v>
      </c>
      <c r="E167">
        <v>171</v>
      </c>
      <c r="F167">
        <v>0</v>
      </c>
      <c r="G167">
        <v>226</v>
      </c>
      <c r="H167">
        <v>38646</v>
      </c>
      <c r="I167" t="s">
        <v>12</v>
      </c>
    </row>
    <row r="168" spans="1:9" x14ac:dyDescent="0.3">
      <c r="A168" t="s">
        <v>20</v>
      </c>
      <c r="B168" t="s">
        <v>16</v>
      </c>
      <c r="C168" t="s">
        <v>21</v>
      </c>
      <c r="D168">
        <v>93</v>
      </c>
      <c r="E168">
        <v>108</v>
      </c>
      <c r="F168">
        <v>0</v>
      </c>
      <c r="G168">
        <v>107</v>
      </c>
      <c r="H168">
        <v>11556</v>
      </c>
      <c r="I168" t="s">
        <v>12</v>
      </c>
    </row>
    <row r="169" spans="1:9" x14ac:dyDescent="0.3">
      <c r="A169" t="s">
        <v>30</v>
      </c>
      <c r="B169" t="s">
        <v>10</v>
      </c>
      <c r="C169" t="s">
        <v>13</v>
      </c>
      <c r="D169">
        <v>93</v>
      </c>
      <c r="E169">
        <v>93</v>
      </c>
      <c r="F169">
        <v>5</v>
      </c>
      <c r="G169">
        <v>106</v>
      </c>
      <c r="H169">
        <v>9328</v>
      </c>
      <c r="I169" t="s">
        <v>14</v>
      </c>
    </row>
    <row r="170" spans="1:9" x14ac:dyDescent="0.3">
      <c r="A170" t="s">
        <v>9</v>
      </c>
      <c r="B170" t="s">
        <v>10</v>
      </c>
      <c r="C170" t="s">
        <v>17</v>
      </c>
      <c r="D170">
        <v>198</v>
      </c>
      <c r="E170">
        <v>203</v>
      </c>
      <c r="F170">
        <v>0</v>
      </c>
      <c r="G170">
        <v>188</v>
      </c>
      <c r="H170">
        <v>38164</v>
      </c>
      <c r="I170" t="s">
        <v>14</v>
      </c>
    </row>
    <row r="171" spans="1:9" x14ac:dyDescent="0.3">
      <c r="A171" t="s">
        <v>18</v>
      </c>
      <c r="B171" t="s">
        <v>19</v>
      </c>
      <c r="C171" t="s">
        <v>21</v>
      </c>
      <c r="D171">
        <v>161</v>
      </c>
      <c r="E171">
        <v>161</v>
      </c>
      <c r="F171">
        <v>5</v>
      </c>
      <c r="G171">
        <v>211</v>
      </c>
      <c r="H171">
        <v>32916</v>
      </c>
      <c r="I171" t="s">
        <v>12</v>
      </c>
    </row>
    <row r="172" spans="1:9" x14ac:dyDescent="0.3">
      <c r="A172" t="s">
        <v>9</v>
      </c>
      <c r="B172" t="s">
        <v>10</v>
      </c>
      <c r="C172" t="s">
        <v>25</v>
      </c>
      <c r="D172">
        <v>86</v>
      </c>
      <c r="E172">
        <v>91</v>
      </c>
      <c r="F172">
        <v>10</v>
      </c>
      <c r="G172">
        <v>70</v>
      </c>
      <c r="H172">
        <v>5670</v>
      </c>
      <c r="I172" t="s">
        <v>12</v>
      </c>
    </row>
    <row r="173" spans="1:9" x14ac:dyDescent="0.3">
      <c r="A173" t="s">
        <v>30</v>
      </c>
      <c r="B173" t="s">
        <v>10</v>
      </c>
      <c r="C173" t="s">
        <v>25</v>
      </c>
      <c r="D173">
        <v>148</v>
      </c>
      <c r="E173">
        <v>163</v>
      </c>
      <c r="F173">
        <v>5</v>
      </c>
      <c r="G173">
        <v>79</v>
      </c>
      <c r="H173">
        <v>12482</v>
      </c>
      <c r="I173" t="s">
        <v>14</v>
      </c>
    </row>
    <row r="174" spans="1:9" x14ac:dyDescent="0.3">
      <c r="A174" t="s">
        <v>15</v>
      </c>
      <c r="B174" t="s">
        <v>16</v>
      </c>
      <c r="C174" t="s">
        <v>24</v>
      </c>
      <c r="D174">
        <v>143</v>
      </c>
      <c r="E174">
        <v>153</v>
      </c>
      <c r="F174">
        <v>0</v>
      </c>
      <c r="G174">
        <v>299</v>
      </c>
      <c r="H174">
        <v>45747</v>
      </c>
      <c r="I174" t="s">
        <v>14</v>
      </c>
    </row>
    <row r="175" spans="1:9" x14ac:dyDescent="0.3">
      <c r="A175" t="s">
        <v>30</v>
      </c>
      <c r="B175" t="s">
        <v>10</v>
      </c>
      <c r="C175" t="s">
        <v>21</v>
      </c>
      <c r="D175">
        <v>71</v>
      </c>
      <c r="E175">
        <v>81</v>
      </c>
      <c r="F175">
        <v>0</v>
      </c>
      <c r="G175">
        <v>61</v>
      </c>
      <c r="H175">
        <v>4941</v>
      </c>
      <c r="I175" t="s">
        <v>12</v>
      </c>
    </row>
    <row r="176" spans="1:9" x14ac:dyDescent="0.3">
      <c r="A176" t="s">
        <v>31</v>
      </c>
      <c r="B176" t="s">
        <v>32</v>
      </c>
      <c r="C176" t="s">
        <v>13</v>
      </c>
      <c r="D176">
        <v>151</v>
      </c>
      <c r="E176">
        <v>151</v>
      </c>
      <c r="F176">
        <v>10</v>
      </c>
      <c r="G176">
        <v>219</v>
      </c>
      <c r="H176">
        <v>30879</v>
      </c>
      <c r="I176" t="s">
        <v>12</v>
      </c>
    </row>
    <row r="177" spans="1:9" x14ac:dyDescent="0.3">
      <c r="A177" t="s">
        <v>30</v>
      </c>
      <c r="B177" t="s">
        <v>10</v>
      </c>
      <c r="C177" t="s">
        <v>13</v>
      </c>
      <c r="D177">
        <v>196</v>
      </c>
      <c r="E177">
        <v>201</v>
      </c>
      <c r="F177">
        <v>10</v>
      </c>
      <c r="G177">
        <v>112</v>
      </c>
      <c r="H177">
        <v>21392</v>
      </c>
      <c r="I177" t="s">
        <v>14</v>
      </c>
    </row>
    <row r="178" spans="1:9" x14ac:dyDescent="0.3">
      <c r="A178" t="s">
        <v>18</v>
      </c>
      <c r="B178" t="s">
        <v>19</v>
      </c>
      <c r="C178" t="s">
        <v>21</v>
      </c>
      <c r="D178">
        <v>160</v>
      </c>
      <c r="E178">
        <v>175</v>
      </c>
      <c r="F178">
        <v>0</v>
      </c>
      <c r="G178">
        <v>56</v>
      </c>
      <c r="H178">
        <v>9800</v>
      </c>
      <c r="I178" t="s">
        <v>14</v>
      </c>
    </row>
    <row r="179" spans="1:9" x14ac:dyDescent="0.3">
      <c r="A179" t="s">
        <v>26</v>
      </c>
      <c r="B179" t="s">
        <v>27</v>
      </c>
      <c r="C179" t="s">
        <v>21</v>
      </c>
      <c r="D179">
        <v>115</v>
      </c>
      <c r="E179">
        <v>120</v>
      </c>
      <c r="F179">
        <v>0</v>
      </c>
      <c r="G179">
        <v>226</v>
      </c>
      <c r="H179">
        <v>27120</v>
      </c>
      <c r="I179" t="s">
        <v>12</v>
      </c>
    </row>
    <row r="180" spans="1:9" x14ac:dyDescent="0.3">
      <c r="A180" t="s">
        <v>9</v>
      </c>
      <c r="B180" t="s">
        <v>10</v>
      </c>
      <c r="C180" t="s">
        <v>17</v>
      </c>
      <c r="D180">
        <v>92</v>
      </c>
      <c r="E180">
        <v>102</v>
      </c>
      <c r="F180">
        <v>10</v>
      </c>
      <c r="G180">
        <v>99</v>
      </c>
      <c r="H180">
        <v>9108</v>
      </c>
      <c r="I180" t="s">
        <v>14</v>
      </c>
    </row>
    <row r="181" spans="1:9" x14ac:dyDescent="0.3">
      <c r="A181" t="s">
        <v>31</v>
      </c>
      <c r="B181" t="s">
        <v>32</v>
      </c>
      <c r="C181" t="s">
        <v>25</v>
      </c>
      <c r="D181">
        <v>107</v>
      </c>
      <c r="E181">
        <v>112</v>
      </c>
      <c r="F181">
        <v>5</v>
      </c>
      <c r="G181">
        <v>117</v>
      </c>
      <c r="H181">
        <v>12519</v>
      </c>
      <c r="I181" t="s">
        <v>12</v>
      </c>
    </row>
    <row r="182" spans="1:9" x14ac:dyDescent="0.3">
      <c r="A182" t="s">
        <v>30</v>
      </c>
      <c r="B182" t="s">
        <v>10</v>
      </c>
      <c r="C182" t="s">
        <v>13</v>
      </c>
      <c r="D182">
        <v>88</v>
      </c>
      <c r="E182">
        <v>98</v>
      </c>
      <c r="F182">
        <v>5</v>
      </c>
      <c r="G182">
        <v>259</v>
      </c>
      <c r="H182">
        <v>24087</v>
      </c>
      <c r="I182" t="s">
        <v>12</v>
      </c>
    </row>
    <row r="183" spans="1:9" x14ac:dyDescent="0.3">
      <c r="A183" t="s">
        <v>18</v>
      </c>
      <c r="B183" t="s">
        <v>19</v>
      </c>
      <c r="C183" t="s">
        <v>13</v>
      </c>
      <c r="D183">
        <v>113</v>
      </c>
      <c r="E183">
        <v>113</v>
      </c>
      <c r="F183">
        <v>0</v>
      </c>
      <c r="G183">
        <v>114</v>
      </c>
      <c r="H183">
        <v>12882</v>
      </c>
      <c r="I183" t="s">
        <v>12</v>
      </c>
    </row>
    <row r="184" spans="1:9" x14ac:dyDescent="0.3">
      <c r="A184" t="s">
        <v>15</v>
      </c>
      <c r="B184" t="s">
        <v>16</v>
      </c>
      <c r="C184" t="s">
        <v>24</v>
      </c>
      <c r="D184">
        <v>54</v>
      </c>
      <c r="E184">
        <v>54</v>
      </c>
      <c r="F184">
        <v>5</v>
      </c>
      <c r="G184">
        <v>141</v>
      </c>
      <c r="H184">
        <v>6909</v>
      </c>
      <c r="I184" t="s">
        <v>14</v>
      </c>
    </row>
    <row r="185" spans="1:9" x14ac:dyDescent="0.3">
      <c r="A185" t="s">
        <v>15</v>
      </c>
      <c r="B185" t="s">
        <v>16</v>
      </c>
      <c r="C185" t="s">
        <v>24</v>
      </c>
      <c r="D185">
        <v>173</v>
      </c>
      <c r="E185">
        <v>178</v>
      </c>
      <c r="F185">
        <v>10</v>
      </c>
      <c r="G185">
        <v>159</v>
      </c>
      <c r="H185">
        <v>26712</v>
      </c>
      <c r="I185" t="s">
        <v>12</v>
      </c>
    </row>
    <row r="186" spans="1:9" x14ac:dyDescent="0.3">
      <c r="A186" t="s">
        <v>9</v>
      </c>
      <c r="B186" t="s">
        <v>10</v>
      </c>
      <c r="C186" t="s">
        <v>21</v>
      </c>
      <c r="D186">
        <v>75</v>
      </c>
      <c r="E186">
        <v>90</v>
      </c>
      <c r="F186">
        <v>10</v>
      </c>
      <c r="G186">
        <v>100</v>
      </c>
      <c r="H186">
        <v>8000</v>
      </c>
      <c r="I186" t="s">
        <v>14</v>
      </c>
    </row>
    <row r="187" spans="1:9" x14ac:dyDescent="0.3">
      <c r="A187" t="s">
        <v>30</v>
      </c>
      <c r="B187" t="s">
        <v>10</v>
      </c>
      <c r="C187" t="s">
        <v>11</v>
      </c>
      <c r="D187">
        <v>48</v>
      </c>
      <c r="E187">
        <v>58</v>
      </c>
      <c r="F187">
        <v>5</v>
      </c>
      <c r="G187">
        <v>112</v>
      </c>
      <c r="H187">
        <v>5936</v>
      </c>
      <c r="I187" t="s">
        <v>12</v>
      </c>
    </row>
    <row r="188" spans="1:9" x14ac:dyDescent="0.3">
      <c r="A188" t="s">
        <v>28</v>
      </c>
      <c r="B188" t="s">
        <v>10</v>
      </c>
      <c r="C188" t="s">
        <v>25</v>
      </c>
      <c r="D188">
        <v>34</v>
      </c>
      <c r="E188">
        <v>44</v>
      </c>
      <c r="F188">
        <v>0</v>
      </c>
      <c r="G188">
        <v>284</v>
      </c>
      <c r="H188">
        <v>12496</v>
      </c>
      <c r="I188" t="s">
        <v>12</v>
      </c>
    </row>
    <row r="189" spans="1:9" x14ac:dyDescent="0.3">
      <c r="A189" t="s">
        <v>22</v>
      </c>
      <c r="B189" t="s">
        <v>23</v>
      </c>
      <c r="C189" t="s">
        <v>17</v>
      </c>
      <c r="D189">
        <v>93</v>
      </c>
      <c r="E189">
        <v>103</v>
      </c>
      <c r="F189">
        <v>10</v>
      </c>
      <c r="G189">
        <v>103</v>
      </c>
      <c r="H189">
        <v>9579</v>
      </c>
      <c r="I189" t="s">
        <v>12</v>
      </c>
    </row>
    <row r="190" spans="1:9" x14ac:dyDescent="0.3">
      <c r="A190" t="s">
        <v>18</v>
      </c>
      <c r="B190" t="s">
        <v>19</v>
      </c>
      <c r="C190" t="s">
        <v>13</v>
      </c>
      <c r="D190">
        <v>55</v>
      </c>
      <c r="E190">
        <v>55</v>
      </c>
      <c r="F190">
        <v>0</v>
      </c>
      <c r="G190">
        <v>271</v>
      </c>
      <c r="H190">
        <v>14905</v>
      </c>
      <c r="I190" t="s">
        <v>12</v>
      </c>
    </row>
    <row r="191" spans="1:9" x14ac:dyDescent="0.3">
      <c r="A191" t="s">
        <v>30</v>
      </c>
      <c r="B191" t="s">
        <v>10</v>
      </c>
      <c r="C191" t="s">
        <v>24</v>
      </c>
      <c r="D191">
        <v>36</v>
      </c>
      <c r="E191">
        <v>51</v>
      </c>
      <c r="F191">
        <v>10</v>
      </c>
      <c r="G191">
        <v>139</v>
      </c>
      <c r="H191">
        <v>5699</v>
      </c>
      <c r="I191" t="s">
        <v>12</v>
      </c>
    </row>
    <row r="192" spans="1:9" x14ac:dyDescent="0.3">
      <c r="A192" t="s">
        <v>28</v>
      </c>
      <c r="B192" t="s">
        <v>10</v>
      </c>
      <c r="C192" t="s">
        <v>25</v>
      </c>
      <c r="D192">
        <v>41</v>
      </c>
      <c r="E192">
        <v>51</v>
      </c>
      <c r="F192">
        <v>10</v>
      </c>
      <c r="G192">
        <v>123</v>
      </c>
      <c r="H192">
        <v>5043</v>
      </c>
      <c r="I192" t="s">
        <v>14</v>
      </c>
    </row>
    <row r="193" spans="1:9" x14ac:dyDescent="0.3">
      <c r="A193" t="s">
        <v>18</v>
      </c>
      <c r="B193" t="s">
        <v>19</v>
      </c>
      <c r="C193" t="s">
        <v>17</v>
      </c>
      <c r="D193">
        <v>162</v>
      </c>
      <c r="E193">
        <v>172</v>
      </c>
      <c r="F193">
        <v>5</v>
      </c>
      <c r="G193">
        <v>184</v>
      </c>
      <c r="H193">
        <v>30728</v>
      </c>
      <c r="I193" t="s">
        <v>12</v>
      </c>
    </row>
    <row r="194" spans="1:9" x14ac:dyDescent="0.3">
      <c r="A194" t="s">
        <v>18</v>
      </c>
      <c r="B194" t="s">
        <v>19</v>
      </c>
      <c r="C194" t="s">
        <v>13</v>
      </c>
      <c r="D194">
        <v>146</v>
      </c>
      <c r="E194">
        <v>151</v>
      </c>
      <c r="F194">
        <v>0</v>
      </c>
      <c r="G194">
        <v>273</v>
      </c>
      <c r="H194">
        <v>41223</v>
      </c>
      <c r="I194" t="s">
        <v>14</v>
      </c>
    </row>
    <row r="195" spans="1:9" x14ac:dyDescent="0.3">
      <c r="A195" t="s">
        <v>20</v>
      </c>
      <c r="B195" t="s">
        <v>16</v>
      </c>
      <c r="C195" t="s">
        <v>13</v>
      </c>
      <c r="D195">
        <v>41</v>
      </c>
      <c r="E195">
        <v>41</v>
      </c>
      <c r="F195">
        <v>10</v>
      </c>
      <c r="G195">
        <v>152</v>
      </c>
      <c r="H195">
        <v>4712</v>
      </c>
      <c r="I195" t="s">
        <v>12</v>
      </c>
    </row>
    <row r="196" spans="1:9" x14ac:dyDescent="0.3">
      <c r="A196" t="s">
        <v>29</v>
      </c>
      <c r="B196" t="s">
        <v>19</v>
      </c>
      <c r="C196" t="s">
        <v>11</v>
      </c>
      <c r="D196">
        <v>74</v>
      </c>
      <c r="E196">
        <v>84</v>
      </c>
      <c r="F196">
        <v>10</v>
      </c>
      <c r="G196">
        <v>197</v>
      </c>
      <c r="H196">
        <v>14578</v>
      </c>
      <c r="I196" t="s">
        <v>12</v>
      </c>
    </row>
    <row r="197" spans="1:9" x14ac:dyDescent="0.3">
      <c r="A197" t="s">
        <v>26</v>
      </c>
      <c r="B197" t="s">
        <v>27</v>
      </c>
      <c r="C197" t="s">
        <v>11</v>
      </c>
      <c r="D197">
        <v>153</v>
      </c>
      <c r="E197">
        <v>163</v>
      </c>
      <c r="F197">
        <v>5</v>
      </c>
      <c r="G197">
        <v>143</v>
      </c>
      <c r="H197">
        <v>22594</v>
      </c>
      <c r="I197" t="s">
        <v>12</v>
      </c>
    </row>
    <row r="198" spans="1:9" x14ac:dyDescent="0.3">
      <c r="A198" t="s">
        <v>29</v>
      </c>
      <c r="B198" t="s">
        <v>19</v>
      </c>
      <c r="C198" t="s">
        <v>24</v>
      </c>
      <c r="D198">
        <v>147</v>
      </c>
      <c r="E198">
        <v>157</v>
      </c>
      <c r="F198">
        <v>5</v>
      </c>
      <c r="G198">
        <v>133</v>
      </c>
      <c r="H198">
        <v>20216</v>
      </c>
      <c r="I198" t="s">
        <v>14</v>
      </c>
    </row>
    <row r="199" spans="1:9" x14ac:dyDescent="0.3">
      <c r="A199" t="s">
        <v>20</v>
      </c>
      <c r="B199" t="s">
        <v>16</v>
      </c>
      <c r="C199" t="s">
        <v>13</v>
      </c>
      <c r="D199">
        <v>67</v>
      </c>
      <c r="E199">
        <v>82</v>
      </c>
      <c r="F199">
        <v>10</v>
      </c>
      <c r="G199">
        <v>192</v>
      </c>
      <c r="H199">
        <v>13824</v>
      </c>
      <c r="I199" t="s">
        <v>12</v>
      </c>
    </row>
    <row r="200" spans="1:9" x14ac:dyDescent="0.3">
      <c r="A200" t="s">
        <v>26</v>
      </c>
      <c r="B200" t="s">
        <v>27</v>
      </c>
      <c r="C200" t="s">
        <v>13</v>
      </c>
      <c r="D200">
        <v>76</v>
      </c>
      <c r="E200">
        <v>91</v>
      </c>
      <c r="F200">
        <v>0</v>
      </c>
      <c r="G200">
        <v>156</v>
      </c>
      <c r="H200">
        <v>14196</v>
      </c>
      <c r="I200" t="s">
        <v>12</v>
      </c>
    </row>
    <row r="201" spans="1:9" x14ac:dyDescent="0.3">
      <c r="A201" t="s">
        <v>20</v>
      </c>
      <c r="B201" t="s">
        <v>16</v>
      </c>
      <c r="C201" t="s">
        <v>24</v>
      </c>
      <c r="D201">
        <v>131</v>
      </c>
      <c r="E201">
        <v>146</v>
      </c>
      <c r="F201">
        <v>5</v>
      </c>
      <c r="G201">
        <v>87</v>
      </c>
      <c r="H201">
        <v>12267</v>
      </c>
      <c r="I201" t="s">
        <v>12</v>
      </c>
    </row>
    <row r="202" spans="1:9" x14ac:dyDescent="0.3">
      <c r="A202" t="s">
        <v>26</v>
      </c>
      <c r="B202" t="s">
        <v>27</v>
      </c>
      <c r="C202" t="s">
        <v>17</v>
      </c>
      <c r="D202">
        <v>165</v>
      </c>
      <c r="E202">
        <v>165</v>
      </c>
      <c r="F202">
        <v>10</v>
      </c>
      <c r="G202">
        <v>124</v>
      </c>
      <c r="H202">
        <v>19220</v>
      </c>
      <c r="I202" t="s">
        <v>12</v>
      </c>
    </row>
    <row r="203" spans="1:9" x14ac:dyDescent="0.3">
      <c r="A203" t="s">
        <v>15</v>
      </c>
      <c r="B203" t="s">
        <v>16</v>
      </c>
      <c r="C203" t="s">
        <v>17</v>
      </c>
      <c r="D203">
        <v>143</v>
      </c>
      <c r="E203">
        <v>148</v>
      </c>
      <c r="F203">
        <v>10</v>
      </c>
      <c r="G203">
        <v>60</v>
      </c>
      <c r="H203">
        <v>8280</v>
      </c>
      <c r="I203" t="s">
        <v>12</v>
      </c>
    </row>
    <row r="204" spans="1:9" x14ac:dyDescent="0.3">
      <c r="A204" t="s">
        <v>20</v>
      </c>
      <c r="B204" t="s">
        <v>16</v>
      </c>
      <c r="C204" t="s">
        <v>13</v>
      </c>
      <c r="D204">
        <v>49</v>
      </c>
      <c r="E204">
        <v>49</v>
      </c>
      <c r="F204">
        <v>5</v>
      </c>
      <c r="G204">
        <v>60</v>
      </c>
      <c r="H204">
        <v>2640</v>
      </c>
      <c r="I204" t="s">
        <v>14</v>
      </c>
    </row>
    <row r="205" spans="1:9" x14ac:dyDescent="0.3">
      <c r="A205" t="s">
        <v>31</v>
      </c>
      <c r="B205" t="s">
        <v>32</v>
      </c>
      <c r="C205" t="s">
        <v>13</v>
      </c>
      <c r="D205">
        <v>154</v>
      </c>
      <c r="E205">
        <v>159</v>
      </c>
      <c r="F205">
        <v>0</v>
      </c>
      <c r="G205">
        <v>224</v>
      </c>
      <c r="H205">
        <v>35616</v>
      </c>
      <c r="I205" t="s">
        <v>12</v>
      </c>
    </row>
    <row r="206" spans="1:9" x14ac:dyDescent="0.3">
      <c r="A206" t="s">
        <v>29</v>
      </c>
      <c r="B206" t="s">
        <v>19</v>
      </c>
      <c r="C206" t="s">
        <v>13</v>
      </c>
      <c r="D206">
        <v>65</v>
      </c>
      <c r="E206">
        <v>75</v>
      </c>
      <c r="F206">
        <v>5</v>
      </c>
      <c r="G206">
        <v>183</v>
      </c>
      <c r="H206">
        <v>12810</v>
      </c>
      <c r="I206" t="s">
        <v>12</v>
      </c>
    </row>
    <row r="207" spans="1:9" x14ac:dyDescent="0.3">
      <c r="A207" t="s">
        <v>22</v>
      </c>
      <c r="B207" t="s">
        <v>23</v>
      </c>
      <c r="C207" t="s">
        <v>11</v>
      </c>
      <c r="D207">
        <v>69</v>
      </c>
      <c r="E207">
        <v>74</v>
      </c>
      <c r="F207">
        <v>0</v>
      </c>
      <c r="G207">
        <v>224</v>
      </c>
      <c r="H207">
        <v>16576</v>
      </c>
      <c r="I207" t="s">
        <v>12</v>
      </c>
    </row>
    <row r="208" spans="1:9" x14ac:dyDescent="0.3">
      <c r="A208" t="s">
        <v>31</v>
      </c>
      <c r="B208" t="s">
        <v>32</v>
      </c>
      <c r="C208" t="s">
        <v>24</v>
      </c>
      <c r="D208">
        <v>181</v>
      </c>
      <c r="E208">
        <v>191</v>
      </c>
      <c r="F208">
        <v>5</v>
      </c>
      <c r="G208">
        <v>273</v>
      </c>
      <c r="H208">
        <v>50778</v>
      </c>
      <c r="I208" t="s">
        <v>14</v>
      </c>
    </row>
    <row r="209" spans="1:9" x14ac:dyDescent="0.3">
      <c r="A209" t="s">
        <v>29</v>
      </c>
      <c r="B209" t="s">
        <v>19</v>
      </c>
      <c r="C209" t="s">
        <v>21</v>
      </c>
      <c r="D209">
        <v>30</v>
      </c>
      <c r="E209">
        <v>45</v>
      </c>
      <c r="F209">
        <v>5</v>
      </c>
      <c r="G209">
        <v>262</v>
      </c>
      <c r="H209">
        <v>10480</v>
      </c>
      <c r="I209" t="s">
        <v>14</v>
      </c>
    </row>
    <row r="210" spans="1:9" x14ac:dyDescent="0.3">
      <c r="A210" t="s">
        <v>9</v>
      </c>
      <c r="B210" t="s">
        <v>10</v>
      </c>
      <c r="C210" t="s">
        <v>13</v>
      </c>
      <c r="D210">
        <v>149</v>
      </c>
      <c r="E210">
        <v>164</v>
      </c>
      <c r="F210">
        <v>10</v>
      </c>
      <c r="G210">
        <v>80</v>
      </c>
      <c r="H210">
        <v>12320</v>
      </c>
      <c r="I210" t="s">
        <v>14</v>
      </c>
    </row>
    <row r="211" spans="1:9" x14ac:dyDescent="0.3">
      <c r="A211" t="s">
        <v>9</v>
      </c>
      <c r="B211" t="s">
        <v>10</v>
      </c>
      <c r="C211" t="s">
        <v>25</v>
      </c>
      <c r="D211">
        <v>177</v>
      </c>
      <c r="E211">
        <v>192</v>
      </c>
      <c r="F211">
        <v>0</v>
      </c>
      <c r="G211">
        <v>253</v>
      </c>
      <c r="H211">
        <v>48576</v>
      </c>
      <c r="I211" t="s">
        <v>12</v>
      </c>
    </row>
    <row r="212" spans="1:9" x14ac:dyDescent="0.3">
      <c r="A212" t="s">
        <v>20</v>
      </c>
      <c r="B212" t="s">
        <v>16</v>
      </c>
      <c r="C212" t="s">
        <v>11</v>
      </c>
      <c r="D212">
        <v>76</v>
      </c>
      <c r="E212">
        <v>76</v>
      </c>
      <c r="F212">
        <v>10</v>
      </c>
      <c r="G212">
        <v>240</v>
      </c>
      <c r="H212">
        <v>15840</v>
      </c>
      <c r="I212" t="s">
        <v>12</v>
      </c>
    </row>
    <row r="213" spans="1:9" x14ac:dyDescent="0.3">
      <c r="A213" t="s">
        <v>22</v>
      </c>
      <c r="B213" t="s">
        <v>23</v>
      </c>
      <c r="C213" t="s">
        <v>13</v>
      </c>
      <c r="D213">
        <v>169</v>
      </c>
      <c r="E213">
        <v>169</v>
      </c>
      <c r="F213">
        <v>5</v>
      </c>
      <c r="G213">
        <v>270</v>
      </c>
      <c r="H213">
        <v>44280</v>
      </c>
      <c r="I213" t="s">
        <v>12</v>
      </c>
    </row>
    <row r="214" spans="1:9" x14ac:dyDescent="0.3">
      <c r="A214" t="s">
        <v>22</v>
      </c>
      <c r="B214" t="s">
        <v>23</v>
      </c>
      <c r="C214" t="s">
        <v>13</v>
      </c>
      <c r="D214">
        <v>166</v>
      </c>
      <c r="E214">
        <v>171</v>
      </c>
      <c r="F214">
        <v>0</v>
      </c>
      <c r="G214">
        <v>130</v>
      </c>
      <c r="H214">
        <v>22230</v>
      </c>
      <c r="I214" t="s">
        <v>12</v>
      </c>
    </row>
    <row r="215" spans="1:9" x14ac:dyDescent="0.3">
      <c r="A215" t="s">
        <v>29</v>
      </c>
      <c r="B215" t="s">
        <v>19</v>
      </c>
      <c r="C215" t="s">
        <v>25</v>
      </c>
      <c r="D215">
        <v>161</v>
      </c>
      <c r="E215">
        <v>161</v>
      </c>
      <c r="F215">
        <v>0</v>
      </c>
      <c r="G215">
        <v>165</v>
      </c>
      <c r="H215">
        <v>26565</v>
      </c>
      <c r="I215" t="s">
        <v>12</v>
      </c>
    </row>
    <row r="216" spans="1:9" x14ac:dyDescent="0.3">
      <c r="A216" t="s">
        <v>20</v>
      </c>
      <c r="B216" t="s">
        <v>16</v>
      </c>
      <c r="C216" t="s">
        <v>25</v>
      </c>
      <c r="D216">
        <v>86</v>
      </c>
      <c r="E216">
        <v>101</v>
      </c>
      <c r="F216">
        <v>0</v>
      </c>
      <c r="G216">
        <v>139</v>
      </c>
      <c r="H216">
        <v>14039</v>
      </c>
      <c r="I216" t="s">
        <v>14</v>
      </c>
    </row>
    <row r="217" spans="1:9" x14ac:dyDescent="0.3">
      <c r="A217" t="s">
        <v>26</v>
      </c>
      <c r="B217" t="s">
        <v>27</v>
      </c>
      <c r="C217" t="s">
        <v>21</v>
      </c>
      <c r="D217">
        <v>138</v>
      </c>
      <c r="E217">
        <v>153</v>
      </c>
      <c r="F217">
        <v>10</v>
      </c>
      <c r="G217">
        <v>213</v>
      </c>
      <c r="H217">
        <v>30459</v>
      </c>
      <c r="I217" t="s">
        <v>12</v>
      </c>
    </row>
    <row r="218" spans="1:9" x14ac:dyDescent="0.3">
      <c r="A218" t="s">
        <v>18</v>
      </c>
      <c r="B218" t="s">
        <v>19</v>
      </c>
      <c r="C218" t="s">
        <v>13</v>
      </c>
      <c r="D218">
        <v>129</v>
      </c>
      <c r="E218">
        <v>139</v>
      </c>
      <c r="F218">
        <v>0</v>
      </c>
      <c r="G218">
        <v>69</v>
      </c>
      <c r="H218">
        <v>9591</v>
      </c>
      <c r="I218" t="s">
        <v>14</v>
      </c>
    </row>
    <row r="219" spans="1:9" x14ac:dyDescent="0.3">
      <c r="A219" t="s">
        <v>22</v>
      </c>
      <c r="B219" t="s">
        <v>23</v>
      </c>
      <c r="C219" t="s">
        <v>24</v>
      </c>
      <c r="D219">
        <v>103</v>
      </c>
      <c r="E219">
        <v>118</v>
      </c>
      <c r="F219">
        <v>5</v>
      </c>
      <c r="G219">
        <v>215</v>
      </c>
      <c r="H219">
        <v>24295</v>
      </c>
      <c r="I219" t="s">
        <v>12</v>
      </c>
    </row>
    <row r="220" spans="1:9" x14ac:dyDescent="0.3">
      <c r="A220" t="s">
        <v>26</v>
      </c>
      <c r="B220" t="s">
        <v>27</v>
      </c>
      <c r="C220" t="s">
        <v>21</v>
      </c>
      <c r="D220">
        <v>43</v>
      </c>
      <c r="E220">
        <v>58</v>
      </c>
      <c r="F220">
        <v>5</v>
      </c>
      <c r="G220">
        <v>137</v>
      </c>
      <c r="H220">
        <v>7261</v>
      </c>
      <c r="I220" t="s">
        <v>14</v>
      </c>
    </row>
    <row r="221" spans="1:9" x14ac:dyDescent="0.3">
      <c r="A221" t="s">
        <v>29</v>
      </c>
      <c r="B221" t="s">
        <v>19</v>
      </c>
      <c r="C221" t="s">
        <v>17</v>
      </c>
      <c r="D221">
        <v>135</v>
      </c>
      <c r="E221">
        <v>140</v>
      </c>
      <c r="F221">
        <v>0</v>
      </c>
      <c r="G221">
        <v>179</v>
      </c>
      <c r="H221">
        <v>25060</v>
      </c>
      <c r="I221" t="s">
        <v>12</v>
      </c>
    </row>
    <row r="222" spans="1:9" x14ac:dyDescent="0.3">
      <c r="A222" t="s">
        <v>26</v>
      </c>
      <c r="B222" t="s">
        <v>27</v>
      </c>
      <c r="C222" t="s">
        <v>21</v>
      </c>
      <c r="D222">
        <v>167</v>
      </c>
      <c r="E222">
        <v>182</v>
      </c>
      <c r="F222">
        <v>5</v>
      </c>
      <c r="G222">
        <v>180</v>
      </c>
      <c r="H222">
        <v>31860</v>
      </c>
      <c r="I222" t="s">
        <v>14</v>
      </c>
    </row>
    <row r="223" spans="1:9" x14ac:dyDescent="0.3">
      <c r="A223" t="s">
        <v>30</v>
      </c>
      <c r="B223" t="s">
        <v>10</v>
      </c>
      <c r="C223" t="s">
        <v>13</v>
      </c>
      <c r="D223">
        <v>30</v>
      </c>
      <c r="E223">
        <v>35</v>
      </c>
      <c r="F223">
        <v>10</v>
      </c>
      <c r="G223">
        <v>83</v>
      </c>
      <c r="H223">
        <v>2075</v>
      </c>
      <c r="I223" t="s">
        <v>12</v>
      </c>
    </row>
    <row r="224" spans="1:9" x14ac:dyDescent="0.3">
      <c r="A224" t="s">
        <v>20</v>
      </c>
      <c r="B224" t="s">
        <v>16</v>
      </c>
      <c r="C224" t="s">
        <v>17</v>
      </c>
      <c r="D224">
        <v>113</v>
      </c>
      <c r="E224">
        <v>113</v>
      </c>
      <c r="F224">
        <v>5</v>
      </c>
      <c r="G224">
        <v>73</v>
      </c>
      <c r="H224">
        <v>7884</v>
      </c>
      <c r="I224" t="s">
        <v>14</v>
      </c>
    </row>
    <row r="225" spans="1:9" x14ac:dyDescent="0.3">
      <c r="A225" t="s">
        <v>15</v>
      </c>
      <c r="B225" t="s">
        <v>16</v>
      </c>
      <c r="C225" t="s">
        <v>25</v>
      </c>
      <c r="D225">
        <v>27</v>
      </c>
      <c r="E225">
        <v>27</v>
      </c>
      <c r="F225">
        <v>0</v>
      </c>
      <c r="G225">
        <v>116</v>
      </c>
      <c r="H225">
        <v>3132</v>
      </c>
      <c r="I225" t="s">
        <v>12</v>
      </c>
    </row>
    <row r="226" spans="1:9" x14ac:dyDescent="0.3">
      <c r="A226" t="s">
        <v>31</v>
      </c>
      <c r="B226" t="s">
        <v>32</v>
      </c>
      <c r="C226" t="s">
        <v>21</v>
      </c>
      <c r="D226">
        <v>187</v>
      </c>
      <c r="E226">
        <v>197</v>
      </c>
      <c r="F226">
        <v>10</v>
      </c>
      <c r="G226">
        <v>94</v>
      </c>
      <c r="H226">
        <v>17578</v>
      </c>
      <c r="I226" t="s">
        <v>14</v>
      </c>
    </row>
    <row r="227" spans="1:9" x14ac:dyDescent="0.3">
      <c r="A227" t="s">
        <v>31</v>
      </c>
      <c r="B227" t="s">
        <v>32</v>
      </c>
      <c r="C227" t="s">
        <v>24</v>
      </c>
      <c r="D227">
        <v>136</v>
      </c>
      <c r="E227">
        <v>151</v>
      </c>
      <c r="F227">
        <v>5</v>
      </c>
      <c r="G227">
        <v>119</v>
      </c>
      <c r="H227">
        <v>17374</v>
      </c>
      <c r="I227" t="s">
        <v>12</v>
      </c>
    </row>
    <row r="228" spans="1:9" x14ac:dyDescent="0.3">
      <c r="A228" t="s">
        <v>22</v>
      </c>
      <c r="B228" t="s">
        <v>23</v>
      </c>
      <c r="C228" t="s">
        <v>25</v>
      </c>
      <c r="D228">
        <v>23</v>
      </c>
      <c r="E228">
        <v>28</v>
      </c>
      <c r="F228">
        <v>10</v>
      </c>
      <c r="G228">
        <v>287</v>
      </c>
      <c r="H228">
        <v>5166</v>
      </c>
      <c r="I228" t="s">
        <v>12</v>
      </c>
    </row>
    <row r="229" spans="1:9" x14ac:dyDescent="0.3">
      <c r="A229" t="s">
        <v>31</v>
      </c>
      <c r="B229" t="s">
        <v>32</v>
      </c>
      <c r="C229" t="s">
        <v>17</v>
      </c>
      <c r="D229">
        <v>159</v>
      </c>
      <c r="E229">
        <v>164</v>
      </c>
      <c r="F229">
        <v>0</v>
      </c>
      <c r="G229">
        <v>91</v>
      </c>
      <c r="H229">
        <v>14924</v>
      </c>
      <c r="I229" t="s">
        <v>12</v>
      </c>
    </row>
    <row r="230" spans="1:9" x14ac:dyDescent="0.3">
      <c r="A230" t="s">
        <v>20</v>
      </c>
      <c r="B230" t="s">
        <v>16</v>
      </c>
      <c r="C230" t="s">
        <v>21</v>
      </c>
      <c r="D230">
        <v>81</v>
      </c>
      <c r="E230">
        <v>91</v>
      </c>
      <c r="F230">
        <v>5</v>
      </c>
      <c r="G230">
        <v>95</v>
      </c>
      <c r="H230">
        <v>8170</v>
      </c>
      <c r="I230" t="s">
        <v>12</v>
      </c>
    </row>
    <row r="231" spans="1:9" x14ac:dyDescent="0.3">
      <c r="A231" t="s">
        <v>28</v>
      </c>
      <c r="B231" t="s">
        <v>10</v>
      </c>
      <c r="C231" t="s">
        <v>11</v>
      </c>
      <c r="D231">
        <v>97</v>
      </c>
      <c r="E231">
        <v>112</v>
      </c>
      <c r="F231">
        <v>0</v>
      </c>
      <c r="G231">
        <v>147</v>
      </c>
      <c r="H231">
        <v>16464</v>
      </c>
      <c r="I231" t="s">
        <v>12</v>
      </c>
    </row>
    <row r="232" spans="1:9" x14ac:dyDescent="0.3">
      <c r="A232" t="s">
        <v>26</v>
      </c>
      <c r="B232" t="s">
        <v>27</v>
      </c>
      <c r="C232" t="s">
        <v>24</v>
      </c>
      <c r="D232">
        <v>128</v>
      </c>
      <c r="E232">
        <v>128</v>
      </c>
      <c r="F232">
        <v>5</v>
      </c>
      <c r="G232">
        <v>70</v>
      </c>
      <c r="H232">
        <v>8610</v>
      </c>
      <c r="I232" t="s">
        <v>12</v>
      </c>
    </row>
    <row r="233" spans="1:9" x14ac:dyDescent="0.3">
      <c r="A233" t="s">
        <v>26</v>
      </c>
      <c r="B233" t="s">
        <v>27</v>
      </c>
      <c r="C233" t="s">
        <v>25</v>
      </c>
      <c r="D233">
        <v>139</v>
      </c>
      <c r="E233">
        <v>139</v>
      </c>
      <c r="F233">
        <v>5</v>
      </c>
      <c r="G233">
        <v>143</v>
      </c>
      <c r="H233">
        <v>19162</v>
      </c>
      <c r="I233" t="s">
        <v>14</v>
      </c>
    </row>
    <row r="234" spans="1:9" x14ac:dyDescent="0.3">
      <c r="A234" t="s">
        <v>9</v>
      </c>
      <c r="B234" t="s">
        <v>10</v>
      </c>
      <c r="C234" t="s">
        <v>13</v>
      </c>
      <c r="D234">
        <v>131</v>
      </c>
      <c r="E234">
        <v>141</v>
      </c>
      <c r="F234">
        <v>10</v>
      </c>
      <c r="G234">
        <v>154</v>
      </c>
      <c r="H234">
        <v>20174</v>
      </c>
      <c r="I234" t="s">
        <v>12</v>
      </c>
    </row>
    <row r="235" spans="1:9" x14ac:dyDescent="0.3">
      <c r="A235" t="s">
        <v>28</v>
      </c>
      <c r="B235" t="s">
        <v>10</v>
      </c>
      <c r="C235" t="s">
        <v>24</v>
      </c>
      <c r="D235">
        <v>74</v>
      </c>
      <c r="E235">
        <v>79</v>
      </c>
      <c r="F235">
        <v>0</v>
      </c>
      <c r="G235">
        <v>257</v>
      </c>
      <c r="H235">
        <v>20303</v>
      </c>
      <c r="I235" t="s">
        <v>12</v>
      </c>
    </row>
    <row r="236" spans="1:9" x14ac:dyDescent="0.3">
      <c r="A236" t="s">
        <v>30</v>
      </c>
      <c r="B236" t="s">
        <v>10</v>
      </c>
      <c r="C236" t="s">
        <v>11</v>
      </c>
      <c r="D236">
        <v>43</v>
      </c>
      <c r="E236">
        <v>43</v>
      </c>
      <c r="F236">
        <v>0</v>
      </c>
      <c r="G236">
        <v>94</v>
      </c>
      <c r="H236">
        <v>4042</v>
      </c>
      <c r="I236" t="s">
        <v>14</v>
      </c>
    </row>
    <row r="237" spans="1:9" x14ac:dyDescent="0.3">
      <c r="A237" t="s">
        <v>28</v>
      </c>
      <c r="B237" t="s">
        <v>10</v>
      </c>
      <c r="C237" t="s">
        <v>13</v>
      </c>
      <c r="D237">
        <v>81</v>
      </c>
      <c r="E237">
        <v>81</v>
      </c>
      <c r="F237">
        <v>0</v>
      </c>
      <c r="G237">
        <v>154</v>
      </c>
      <c r="H237">
        <v>12474</v>
      </c>
      <c r="I237" t="s">
        <v>14</v>
      </c>
    </row>
    <row r="238" spans="1:9" x14ac:dyDescent="0.3">
      <c r="A238" t="s">
        <v>22</v>
      </c>
      <c r="B238" t="s">
        <v>23</v>
      </c>
      <c r="C238" t="s">
        <v>25</v>
      </c>
      <c r="D238">
        <v>59</v>
      </c>
      <c r="E238">
        <v>64</v>
      </c>
      <c r="F238">
        <v>10</v>
      </c>
      <c r="G238">
        <v>111</v>
      </c>
      <c r="H238">
        <v>5994</v>
      </c>
      <c r="I238" t="s">
        <v>12</v>
      </c>
    </row>
    <row r="239" spans="1:9" x14ac:dyDescent="0.3">
      <c r="A239" t="s">
        <v>28</v>
      </c>
      <c r="B239" t="s">
        <v>10</v>
      </c>
      <c r="C239" t="s">
        <v>25</v>
      </c>
      <c r="D239">
        <v>76</v>
      </c>
      <c r="E239">
        <v>76</v>
      </c>
      <c r="F239">
        <v>0</v>
      </c>
      <c r="G239">
        <v>238</v>
      </c>
      <c r="H239">
        <v>18088</v>
      </c>
      <c r="I239" t="s">
        <v>12</v>
      </c>
    </row>
    <row r="240" spans="1:9" x14ac:dyDescent="0.3">
      <c r="A240" t="s">
        <v>29</v>
      </c>
      <c r="B240" t="s">
        <v>19</v>
      </c>
      <c r="C240" t="s">
        <v>25</v>
      </c>
      <c r="D240">
        <v>140</v>
      </c>
      <c r="E240">
        <v>155</v>
      </c>
      <c r="F240">
        <v>5</v>
      </c>
      <c r="G240">
        <v>259</v>
      </c>
      <c r="H240">
        <v>38850</v>
      </c>
      <c r="I240" t="s">
        <v>12</v>
      </c>
    </row>
    <row r="241" spans="1:9" x14ac:dyDescent="0.3">
      <c r="A241" t="s">
        <v>30</v>
      </c>
      <c r="B241" t="s">
        <v>10</v>
      </c>
      <c r="C241" t="s">
        <v>17</v>
      </c>
      <c r="D241">
        <v>63</v>
      </c>
      <c r="E241">
        <v>78</v>
      </c>
      <c r="F241">
        <v>10</v>
      </c>
      <c r="G241">
        <v>106</v>
      </c>
      <c r="H241">
        <v>7208</v>
      </c>
      <c r="I241" t="s">
        <v>12</v>
      </c>
    </row>
    <row r="242" spans="1:9" x14ac:dyDescent="0.3">
      <c r="A242" t="s">
        <v>31</v>
      </c>
      <c r="B242" t="s">
        <v>32</v>
      </c>
      <c r="C242" t="s">
        <v>24</v>
      </c>
      <c r="D242">
        <v>181</v>
      </c>
      <c r="E242">
        <v>186</v>
      </c>
      <c r="F242">
        <v>10</v>
      </c>
      <c r="G242">
        <v>108</v>
      </c>
      <c r="H242">
        <v>19008</v>
      </c>
      <c r="I242" t="s">
        <v>12</v>
      </c>
    </row>
    <row r="243" spans="1:9" x14ac:dyDescent="0.3">
      <c r="A243" t="s">
        <v>15</v>
      </c>
      <c r="B243" t="s">
        <v>16</v>
      </c>
      <c r="C243" t="s">
        <v>17</v>
      </c>
      <c r="D243">
        <v>129</v>
      </c>
      <c r="E243">
        <v>144</v>
      </c>
      <c r="F243">
        <v>0</v>
      </c>
      <c r="G243">
        <v>204</v>
      </c>
      <c r="H243">
        <v>29376</v>
      </c>
      <c r="I243" t="s">
        <v>12</v>
      </c>
    </row>
    <row r="244" spans="1:9" x14ac:dyDescent="0.3">
      <c r="A244" t="s">
        <v>18</v>
      </c>
      <c r="B244" t="s">
        <v>19</v>
      </c>
      <c r="C244" t="s">
        <v>24</v>
      </c>
      <c r="D244">
        <v>24</v>
      </c>
      <c r="E244">
        <v>29</v>
      </c>
      <c r="F244">
        <v>5</v>
      </c>
      <c r="G244">
        <v>137</v>
      </c>
      <c r="H244">
        <v>3288</v>
      </c>
      <c r="I244" t="s">
        <v>12</v>
      </c>
    </row>
    <row r="245" spans="1:9" x14ac:dyDescent="0.3">
      <c r="A245" t="s">
        <v>29</v>
      </c>
      <c r="B245" t="s">
        <v>19</v>
      </c>
      <c r="C245" t="s">
        <v>11</v>
      </c>
      <c r="D245">
        <v>82</v>
      </c>
      <c r="E245">
        <v>87</v>
      </c>
      <c r="F245">
        <v>5</v>
      </c>
      <c r="G245">
        <v>77</v>
      </c>
      <c r="H245">
        <v>6314</v>
      </c>
      <c r="I245" t="s">
        <v>12</v>
      </c>
    </row>
    <row r="246" spans="1:9" x14ac:dyDescent="0.3">
      <c r="A246" t="s">
        <v>31</v>
      </c>
      <c r="B246" t="s">
        <v>32</v>
      </c>
      <c r="C246" t="s">
        <v>25</v>
      </c>
      <c r="D246">
        <v>87</v>
      </c>
      <c r="E246">
        <v>92</v>
      </c>
      <c r="F246">
        <v>10</v>
      </c>
      <c r="G246">
        <v>255</v>
      </c>
      <c r="H246">
        <v>20910</v>
      </c>
      <c r="I246" t="s">
        <v>12</v>
      </c>
    </row>
    <row r="247" spans="1:9" x14ac:dyDescent="0.3">
      <c r="A247" t="s">
        <v>29</v>
      </c>
      <c r="B247" t="s">
        <v>19</v>
      </c>
      <c r="C247" t="s">
        <v>24</v>
      </c>
      <c r="D247">
        <v>174</v>
      </c>
      <c r="E247">
        <v>184</v>
      </c>
      <c r="F247">
        <v>0</v>
      </c>
      <c r="G247">
        <v>129</v>
      </c>
      <c r="H247">
        <v>23736</v>
      </c>
      <c r="I247" t="s">
        <v>12</v>
      </c>
    </row>
    <row r="248" spans="1:9" x14ac:dyDescent="0.3">
      <c r="A248" t="s">
        <v>22</v>
      </c>
      <c r="B248" t="s">
        <v>23</v>
      </c>
      <c r="C248" t="s">
        <v>11</v>
      </c>
      <c r="D248">
        <v>63</v>
      </c>
      <c r="E248">
        <v>63</v>
      </c>
      <c r="F248">
        <v>0</v>
      </c>
      <c r="G248">
        <v>178</v>
      </c>
      <c r="H248">
        <v>11214</v>
      </c>
      <c r="I248" t="s">
        <v>12</v>
      </c>
    </row>
    <row r="249" spans="1:9" x14ac:dyDescent="0.3">
      <c r="A249" t="s">
        <v>28</v>
      </c>
      <c r="B249" t="s">
        <v>10</v>
      </c>
      <c r="C249" t="s">
        <v>21</v>
      </c>
      <c r="D249">
        <v>149</v>
      </c>
      <c r="E249">
        <v>159</v>
      </c>
      <c r="F249">
        <v>10</v>
      </c>
      <c r="G249">
        <v>269</v>
      </c>
      <c r="H249">
        <v>40081</v>
      </c>
      <c r="I249" t="s">
        <v>12</v>
      </c>
    </row>
    <row r="250" spans="1:9" x14ac:dyDescent="0.3">
      <c r="A250" t="s">
        <v>31</v>
      </c>
      <c r="B250" t="s">
        <v>32</v>
      </c>
      <c r="C250" t="s">
        <v>17</v>
      </c>
      <c r="D250">
        <v>119</v>
      </c>
      <c r="E250">
        <v>119</v>
      </c>
      <c r="F250">
        <v>0</v>
      </c>
      <c r="G250">
        <v>230</v>
      </c>
      <c r="H250">
        <v>27370</v>
      </c>
      <c r="I250" t="s">
        <v>12</v>
      </c>
    </row>
    <row r="251" spans="1:9" x14ac:dyDescent="0.3">
      <c r="A251" t="s">
        <v>9</v>
      </c>
      <c r="B251" t="s">
        <v>10</v>
      </c>
      <c r="C251" t="s">
        <v>11</v>
      </c>
      <c r="D251">
        <v>106</v>
      </c>
      <c r="E251">
        <v>116</v>
      </c>
      <c r="F251">
        <v>0</v>
      </c>
      <c r="G251">
        <v>115</v>
      </c>
      <c r="H251">
        <v>13340</v>
      </c>
      <c r="I251" t="s">
        <v>14</v>
      </c>
    </row>
    <row r="252" spans="1:9" x14ac:dyDescent="0.3">
      <c r="A252" t="s">
        <v>29</v>
      </c>
      <c r="B252" t="s">
        <v>19</v>
      </c>
      <c r="C252" t="s">
        <v>17</v>
      </c>
      <c r="D252">
        <v>85</v>
      </c>
      <c r="E252">
        <v>90</v>
      </c>
      <c r="F252">
        <v>5</v>
      </c>
      <c r="G252">
        <v>195</v>
      </c>
      <c r="H252">
        <v>16575</v>
      </c>
      <c r="I252" t="s">
        <v>14</v>
      </c>
    </row>
    <row r="253" spans="1:9" x14ac:dyDescent="0.3">
      <c r="A253" t="s">
        <v>15</v>
      </c>
      <c r="B253" t="s">
        <v>16</v>
      </c>
      <c r="C253" t="s">
        <v>24</v>
      </c>
      <c r="D253">
        <v>129</v>
      </c>
      <c r="E253">
        <v>139</v>
      </c>
      <c r="F253">
        <v>0</v>
      </c>
      <c r="G253">
        <v>195</v>
      </c>
      <c r="H253">
        <v>27105</v>
      </c>
      <c r="I253" t="s">
        <v>14</v>
      </c>
    </row>
    <row r="254" spans="1:9" x14ac:dyDescent="0.3">
      <c r="A254" t="s">
        <v>26</v>
      </c>
      <c r="B254" t="s">
        <v>27</v>
      </c>
      <c r="C254" t="s">
        <v>13</v>
      </c>
      <c r="D254">
        <v>80</v>
      </c>
      <c r="E254">
        <v>85</v>
      </c>
      <c r="F254">
        <v>10</v>
      </c>
      <c r="G254">
        <v>67</v>
      </c>
      <c r="H254">
        <v>5025</v>
      </c>
      <c r="I254" t="s">
        <v>14</v>
      </c>
    </row>
    <row r="255" spans="1:9" x14ac:dyDescent="0.3">
      <c r="A255" t="s">
        <v>30</v>
      </c>
      <c r="B255" t="s">
        <v>10</v>
      </c>
      <c r="C255" t="s">
        <v>11</v>
      </c>
      <c r="D255">
        <v>184</v>
      </c>
      <c r="E255">
        <v>194</v>
      </c>
      <c r="F255">
        <v>0</v>
      </c>
      <c r="G255">
        <v>271</v>
      </c>
      <c r="H255">
        <v>52574</v>
      </c>
      <c r="I255" t="s">
        <v>14</v>
      </c>
    </row>
    <row r="256" spans="1:9" x14ac:dyDescent="0.3">
      <c r="A256" t="s">
        <v>28</v>
      </c>
      <c r="B256" t="s">
        <v>10</v>
      </c>
      <c r="C256" t="s">
        <v>11</v>
      </c>
      <c r="D256">
        <v>163</v>
      </c>
      <c r="E256">
        <v>178</v>
      </c>
      <c r="F256">
        <v>5</v>
      </c>
      <c r="G256">
        <v>214</v>
      </c>
      <c r="H256">
        <v>37022</v>
      </c>
      <c r="I256" t="s">
        <v>14</v>
      </c>
    </row>
    <row r="257" spans="1:9" x14ac:dyDescent="0.3">
      <c r="A257" t="s">
        <v>29</v>
      </c>
      <c r="B257" t="s">
        <v>19</v>
      </c>
      <c r="C257" t="s">
        <v>11</v>
      </c>
      <c r="D257">
        <v>175</v>
      </c>
      <c r="E257">
        <v>190</v>
      </c>
      <c r="F257">
        <v>5</v>
      </c>
      <c r="G257">
        <v>288</v>
      </c>
      <c r="H257">
        <v>53280</v>
      </c>
      <c r="I257" t="s">
        <v>14</v>
      </c>
    </row>
    <row r="258" spans="1:9" x14ac:dyDescent="0.3">
      <c r="A258" t="s">
        <v>29</v>
      </c>
      <c r="B258" t="s">
        <v>19</v>
      </c>
      <c r="C258" t="s">
        <v>21</v>
      </c>
      <c r="D258">
        <v>72</v>
      </c>
      <c r="E258">
        <v>82</v>
      </c>
      <c r="F258">
        <v>0</v>
      </c>
      <c r="G258">
        <v>105</v>
      </c>
      <c r="H258">
        <v>8610</v>
      </c>
      <c r="I258" t="s">
        <v>12</v>
      </c>
    </row>
    <row r="259" spans="1:9" x14ac:dyDescent="0.3">
      <c r="A259" t="s">
        <v>26</v>
      </c>
      <c r="B259" t="s">
        <v>27</v>
      </c>
      <c r="C259" t="s">
        <v>24</v>
      </c>
      <c r="D259">
        <v>160</v>
      </c>
      <c r="E259">
        <v>165</v>
      </c>
      <c r="F259">
        <v>0</v>
      </c>
      <c r="G259">
        <v>157</v>
      </c>
      <c r="H259">
        <v>25905</v>
      </c>
      <c r="I259" t="s">
        <v>12</v>
      </c>
    </row>
    <row r="260" spans="1:9" x14ac:dyDescent="0.3">
      <c r="A260" t="s">
        <v>15</v>
      </c>
      <c r="B260" t="s">
        <v>16</v>
      </c>
      <c r="C260" t="s">
        <v>24</v>
      </c>
      <c r="D260">
        <v>132</v>
      </c>
      <c r="E260">
        <v>142</v>
      </c>
      <c r="F260">
        <v>5</v>
      </c>
      <c r="G260">
        <v>225</v>
      </c>
      <c r="H260">
        <v>30825</v>
      </c>
      <c r="I260" t="s">
        <v>12</v>
      </c>
    </row>
    <row r="261" spans="1:9" x14ac:dyDescent="0.3">
      <c r="A261" t="s">
        <v>31</v>
      </c>
      <c r="B261" t="s">
        <v>32</v>
      </c>
      <c r="C261" t="s">
        <v>17</v>
      </c>
      <c r="D261">
        <v>69</v>
      </c>
      <c r="E261">
        <v>69</v>
      </c>
      <c r="F261">
        <v>10</v>
      </c>
      <c r="G261">
        <v>243</v>
      </c>
      <c r="H261">
        <v>14337</v>
      </c>
      <c r="I261" t="s">
        <v>14</v>
      </c>
    </row>
    <row r="262" spans="1:9" x14ac:dyDescent="0.3">
      <c r="A262" t="s">
        <v>31</v>
      </c>
      <c r="B262" t="s">
        <v>32</v>
      </c>
      <c r="C262" t="s">
        <v>11</v>
      </c>
      <c r="D262">
        <v>75</v>
      </c>
      <c r="E262">
        <v>80</v>
      </c>
      <c r="F262">
        <v>10</v>
      </c>
      <c r="G262">
        <v>107</v>
      </c>
      <c r="H262">
        <v>7490</v>
      </c>
      <c r="I262" t="s">
        <v>12</v>
      </c>
    </row>
    <row r="263" spans="1:9" x14ac:dyDescent="0.3">
      <c r="A263" t="s">
        <v>29</v>
      </c>
      <c r="B263" t="s">
        <v>19</v>
      </c>
      <c r="C263" t="s">
        <v>17</v>
      </c>
      <c r="D263">
        <v>180</v>
      </c>
      <c r="E263">
        <v>185</v>
      </c>
      <c r="F263">
        <v>10</v>
      </c>
      <c r="G263">
        <v>226</v>
      </c>
      <c r="H263">
        <v>39550</v>
      </c>
      <c r="I263" t="s">
        <v>14</v>
      </c>
    </row>
    <row r="264" spans="1:9" x14ac:dyDescent="0.3">
      <c r="A264" t="s">
        <v>15</v>
      </c>
      <c r="B264" t="s">
        <v>16</v>
      </c>
      <c r="C264" t="s">
        <v>17</v>
      </c>
      <c r="D264">
        <v>147</v>
      </c>
      <c r="E264">
        <v>152</v>
      </c>
      <c r="F264">
        <v>5</v>
      </c>
      <c r="G264">
        <v>105</v>
      </c>
      <c r="H264">
        <v>15435</v>
      </c>
      <c r="I264" t="s">
        <v>14</v>
      </c>
    </row>
    <row r="265" spans="1:9" x14ac:dyDescent="0.3">
      <c r="A265" t="s">
        <v>18</v>
      </c>
      <c r="B265" t="s">
        <v>19</v>
      </c>
      <c r="C265" t="s">
        <v>21</v>
      </c>
      <c r="D265">
        <v>59</v>
      </c>
      <c r="E265">
        <v>64</v>
      </c>
      <c r="F265">
        <v>10</v>
      </c>
      <c r="G265">
        <v>229</v>
      </c>
      <c r="H265">
        <v>12366</v>
      </c>
      <c r="I265" t="s">
        <v>12</v>
      </c>
    </row>
    <row r="266" spans="1:9" x14ac:dyDescent="0.3">
      <c r="A266" t="s">
        <v>20</v>
      </c>
      <c r="B266" t="s">
        <v>16</v>
      </c>
      <c r="C266" t="s">
        <v>24</v>
      </c>
      <c r="D266">
        <v>113</v>
      </c>
      <c r="E266">
        <v>128</v>
      </c>
      <c r="F266">
        <v>5</v>
      </c>
      <c r="G266">
        <v>90</v>
      </c>
      <c r="H266">
        <v>11070</v>
      </c>
      <c r="I266" t="s">
        <v>14</v>
      </c>
    </row>
    <row r="267" spans="1:9" x14ac:dyDescent="0.3">
      <c r="A267" t="s">
        <v>26</v>
      </c>
      <c r="B267" t="s">
        <v>27</v>
      </c>
      <c r="C267" t="s">
        <v>13</v>
      </c>
      <c r="D267">
        <v>40</v>
      </c>
      <c r="E267">
        <v>50</v>
      </c>
      <c r="F267">
        <v>5</v>
      </c>
      <c r="G267">
        <v>104</v>
      </c>
      <c r="H267">
        <v>4680</v>
      </c>
      <c r="I267" t="s">
        <v>12</v>
      </c>
    </row>
    <row r="268" spans="1:9" x14ac:dyDescent="0.3">
      <c r="A268" t="s">
        <v>30</v>
      </c>
      <c r="B268" t="s">
        <v>10</v>
      </c>
      <c r="C268" t="s">
        <v>24</v>
      </c>
      <c r="D268">
        <v>75</v>
      </c>
      <c r="E268">
        <v>80</v>
      </c>
      <c r="F268">
        <v>10</v>
      </c>
      <c r="G268">
        <v>108</v>
      </c>
      <c r="H268">
        <v>7560</v>
      </c>
      <c r="I268" t="s">
        <v>12</v>
      </c>
    </row>
    <row r="269" spans="1:9" x14ac:dyDescent="0.3">
      <c r="A269" t="s">
        <v>26</v>
      </c>
      <c r="B269" t="s">
        <v>27</v>
      </c>
      <c r="C269" t="s">
        <v>17</v>
      </c>
      <c r="D269">
        <v>26</v>
      </c>
      <c r="E269">
        <v>36</v>
      </c>
      <c r="F269">
        <v>0</v>
      </c>
      <c r="G269">
        <v>184</v>
      </c>
      <c r="H269">
        <v>6624</v>
      </c>
      <c r="I269" t="s">
        <v>12</v>
      </c>
    </row>
    <row r="270" spans="1:9" x14ac:dyDescent="0.3">
      <c r="A270" t="s">
        <v>20</v>
      </c>
      <c r="B270" t="s">
        <v>16</v>
      </c>
      <c r="C270" t="s">
        <v>17</v>
      </c>
      <c r="D270">
        <v>51</v>
      </c>
      <c r="E270">
        <v>61</v>
      </c>
      <c r="F270">
        <v>10</v>
      </c>
      <c r="G270">
        <v>161</v>
      </c>
      <c r="H270">
        <v>8211</v>
      </c>
      <c r="I270" t="s">
        <v>12</v>
      </c>
    </row>
    <row r="271" spans="1:9" x14ac:dyDescent="0.3">
      <c r="A271" t="s">
        <v>30</v>
      </c>
      <c r="B271" t="s">
        <v>10</v>
      </c>
      <c r="C271" t="s">
        <v>24</v>
      </c>
      <c r="D271">
        <v>101</v>
      </c>
      <c r="E271">
        <v>111</v>
      </c>
      <c r="F271">
        <v>0</v>
      </c>
      <c r="G271">
        <v>85</v>
      </c>
      <c r="H271">
        <v>9435</v>
      </c>
      <c r="I271" t="s">
        <v>14</v>
      </c>
    </row>
    <row r="272" spans="1:9" x14ac:dyDescent="0.3">
      <c r="A272" t="s">
        <v>31</v>
      </c>
      <c r="B272" t="s">
        <v>32</v>
      </c>
      <c r="C272" t="s">
        <v>17</v>
      </c>
      <c r="D272">
        <v>175</v>
      </c>
      <c r="E272">
        <v>190</v>
      </c>
      <c r="F272">
        <v>5</v>
      </c>
      <c r="G272">
        <v>80</v>
      </c>
      <c r="H272">
        <v>14800</v>
      </c>
      <c r="I272" t="s">
        <v>12</v>
      </c>
    </row>
    <row r="273" spans="1:9" x14ac:dyDescent="0.3">
      <c r="A273" t="s">
        <v>31</v>
      </c>
      <c r="B273" t="s">
        <v>32</v>
      </c>
      <c r="C273" t="s">
        <v>13</v>
      </c>
      <c r="D273">
        <v>21</v>
      </c>
      <c r="E273">
        <v>21</v>
      </c>
      <c r="F273">
        <v>5</v>
      </c>
      <c r="G273">
        <v>87</v>
      </c>
      <c r="H273">
        <v>1392</v>
      </c>
      <c r="I273" t="s">
        <v>12</v>
      </c>
    </row>
    <row r="274" spans="1:9" x14ac:dyDescent="0.3">
      <c r="A274" t="s">
        <v>26</v>
      </c>
      <c r="B274" t="s">
        <v>27</v>
      </c>
      <c r="C274" t="s">
        <v>11</v>
      </c>
      <c r="D274">
        <v>117</v>
      </c>
      <c r="E274">
        <v>132</v>
      </c>
      <c r="F274">
        <v>0</v>
      </c>
      <c r="G274">
        <v>129</v>
      </c>
      <c r="H274">
        <v>17028</v>
      </c>
      <c r="I274" t="s">
        <v>12</v>
      </c>
    </row>
    <row r="275" spans="1:9" x14ac:dyDescent="0.3">
      <c r="A275" t="s">
        <v>20</v>
      </c>
      <c r="B275" t="s">
        <v>16</v>
      </c>
      <c r="C275" t="s">
        <v>13</v>
      </c>
      <c r="D275">
        <v>70</v>
      </c>
      <c r="E275">
        <v>75</v>
      </c>
      <c r="F275">
        <v>0</v>
      </c>
      <c r="G275">
        <v>270</v>
      </c>
      <c r="H275">
        <v>20250</v>
      </c>
      <c r="I275" t="s">
        <v>12</v>
      </c>
    </row>
    <row r="276" spans="1:9" x14ac:dyDescent="0.3">
      <c r="A276" t="s">
        <v>15</v>
      </c>
      <c r="B276" t="s">
        <v>16</v>
      </c>
      <c r="C276" t="s">
        <v>24</v>
      </c>
      <c r="D276">
        <v>107</v>
      </c>
      <c r="E276">
        <v>107</v>
      </c>
      <c r="F276">
        <v>10</v>
      </c>
      <c r="G276">
        <v>193</v>
      </c>
      <c r="H276">
        <v>18721</v>
      </c>
      <c r="I276" t="s">
        <v>14</v>
      </c>
    </row>
    <row r="277" spans="1:9" x14ac:dyDescent="0.3">
      <c r="A277" t="s">
        <v>26</v>
      </c>
      <c r="B277" t="s">
        <v>27</v>
      </c>
      <c r="C277" t="s">
        <v>13</v>
      </c>
      <c r="D277">
        <v>198</v>
      </c>
      <c r="E277">
        <v>213</v>
      </c>
      <c r="F277">
        <v>5</v>
      </c>
      <c r="G277">
        <v>136</v>
      </c>
      <c r="H277">
        <v>28288</v>
      </c>
      <c r="I277" t="s">
        <v>12</v>
      </c>
    </row>
    <row r="278" spans="1:9" x14ac:dyDescent="0.3">
      <c r="A278" t="s">
        <v>30</v>
      </c>
      <c r="B278" t="s">
        <v>10</v>
      </c>
      <c r="C278" t="s">
        <v>13</v>
      </c>
      <c r="D278">
        <v>161</v>
      </c>
      <c r="E278">
        <v>161</v>
      </c>
      <c r="F278">
        <v>0</v>
      </c>
      <c r="G278">
        <v>188</v>
      </c>
      <c r="H278">
        <v>30268</v>
      </c>
      <c r="I278" t="s">
        <v>12</v>
      </c>
    </row>
    <row r="279" spans="1:9" x14ac:dyDescent="0.3">
      <c r="A279" t="s">
        <v>31</v>
      </c>
      <c r="B279" t="s">
        <v>32</v>
      </c>
      <c r="C279" t="s">
        <v>17</v>
      </c>
      <c r="D279">
        <v>137</v>
      </c>
      <c r="E279">
        <v>147</v>
      </c>
      <c r="F279">
        <v>5</v>
      </c>
      <c r="G279">
        <v>211</v>
      </c>
      <c r="H279">
        <v>29962</v>
      </c>
      <c r="I279" t="s">
        <v>12</v>
      </c>
    </row>
    <row r="280" spans="1:9" x14ac:dyDescent="0.3">
      <c r="A280" t="s">
        <v>26</v>
      </c>
      <c r="B280" t="s">
        <v>27</v>
      </c>
      <c r="C280" t="s">
        <v>17</v>
      </c>
      <c r="D280">
        <v>45</v>
      </c>
      <c r="E280">
        <v>55</v>
      </c>
      <c r="F280">
        <v>10</v>
      </c>
      <c r="G280">
        <v>84</v>
      </c>
      <c r="H280">
        <v>3780</v>
      </c>
      <c r="I280" t="s">
        <v>14</v>
      </c>
    </row>
    <row r="281" spans="1:9" x14ac:dyDescent="0.3">
      <c r="A281" t="s">
        <v>31</v>
      </c>
      <c r="B281" t="s">
        <v>32</v>
      </c>
      <c r="C281" t="s">
        <v>24</v>
      </c>
      <c r="D281">
        <v>191</v>
      </c>
      <c r="E281">
        <v>206</v>
      </c>
      <c r="F281">
        <v>10</v>
      </c>
      <c r="G281">
        <v>297</v>
      </c>
      <c r="H281">
        <v>58212</v>
      </c>
      <c r="I281" t="s">
        <v>12</v>
      </c>
    </row>
    <row r="282" spans="1:9" x14ac:dyDescent="0.3">
      <c r="A282" t="s">
        <v>26</v>
      </c>
      <c r="B282" t="s">
        <v>27</v>
      </c>
      <c r="C282" t="s">
        <v>13</v>
      </c>
      <c r="D282">
        <v>125</v>
      </c>
      <c r="E282">
        <v>130</v>
      </c>
      <c r="F282">
        <v>0</v>
      </c>
      <c r="G282">
        <v>214</v>
      </c>
      <c r="H282">
        <v>27820</v>
      </c>
      <c r="I282" t="s">
        <v>12</v>
      </c>
    </row>
    <row r="283" spans="1:9" x14ac:dyDescent="0.3">
      <c r="A283" t="s">
        <v>22</v>
      </c>
      <c r="B283" t="s">
        <v>23</v>
      </c>
      <c r="C283" t="s">
        <v>21</v>
      </c>
      <c r="D283">
        <v>171</v>
      </c>
      <c r="E283">
        <v>186</v>
      </c>
      <c r="F283">
        <v>5</v>
      </c>
      <c r="G283">
        <v>60</v>
      </c>
      <c r="H283">
        <v>10860</v>
      </c>
      <c r="I283" t="s">
        <v>12</v>
      </c>
    </row>
    <row r="284" spans="1:9" x14ac:dyDescent="0.3">
      <c r="A284" t="s">
        <v>15</v>
      </c>
      <c r="B284" t="s">
        <v>16</v>
      </c>
      <c r="C284" t="s">
        <v>13</v>
      </c>
      <c r="D284">
        <v>57</v>
      </c>
      <c r="E284">
        <v>72</v>
      </c>
      <c r="F284">
        <v>5</v>
      </c>
      <c r="G284">
        <v>196</v>
      </c>
      <c r="H284">
        <v>13132</v>
      </c>
      <c r="I284" t="s">
        <v>14</v>
      </c>
    </row>
    <row r="285" spans="1:9" x14ac:dyDescent="0.3">
      <c r="A285" t="s">
        <v>30</v>
      </c>
      <c r="B285" t="s">
        <v>10</v>
      </c>
      <c r="C285" t="s">
        <v>13</v>
      </c>
      <c r="D285">
        <v>56</v>
      </c>
      <c r="E285">
        <v>56</v>
      </c>
      <c r="F285">
        <v>10</v>
      </c>
      <c r="G285">
        <v>251</v>
      </c>
      <c r="H285">
        <v>11546</v>
      </c>
      <c r="I285" t="s">
        <v>12</v>
      </c>
    </row>
    <row r="286" spans="1:9" x14ac:dyDescent="0.3">
      <c r="A286" t="s">
        <v>20</v>
      </c>
      <c r="B286" t="s">
        <v>16</v>
      </c>
      <c r="C286" t="s">
        <v>24</v>
      </c>
      <c r="D286">
        <v>70</v>
      </c>
      <c r="E286">
        <v>70</v>
      </c>
      <c r="F286">
        <v>0</v>
      </c>
      <c r="G286">
        <v>218</v>
      </c>
      <c r="H286">
        <v>15260</v>
      </c>
      <c r="I286" t="s">
        <v>12</v>
      </c>
    </row>
    <row r="287" spans="1:9" x14ac:dyDescent="0.3">
      <c r="A287" t="s">
        <v>20</v>
      </c>
      <c r="B287" t="s">
        <v>16</v>
      </c>
      <c r="C287" t="s">
        <v>25</v>
      </c>
      <c r="D287">
        <v>57</v>
      </c>
      <c r="E287">
        <v>67</v>
      </c>
      <c r="F287">
        <v>0</v>
      </c>
      <c r="G287">
        <v>131</v>
      </c>
      <c r="H287">
        <v>8777</v>
      </c>
      <c r="I287" t="s">
        <v>14</v>
      </c>
    </row>
    <row r="288" spans="1:9" x14ac:dyDescent="0.3">
      <c r="A288" t="s">
        <v>30</v>
      </c>
      <c r="B288" t="s">
        <v>10</v>
      </c>
      <c r="C288" t="s">
        <v>17</v>
      </c>
      <c r="D288">
        <v>104</v>
      </c>
      <c r="E288">
        <v>114</v>
      </c>
      <c r="F288">
        <v>5</v>
      </c>
      <c r="G288">
        <v>255</v>
      </c>
      <c r="H288">
        <v>27795</v>
      </c>
      <c r="I288" t="s">
        <v>12</v>
      </c>
    </row>
    <row r="289" spans="1:9" x14ac:dyDescent="0.3">
      <c r="A289" t="s">
        <v>29</v>
      </c>
      <c r="B289" t="s">
        <v>19</v>
      </c>
      <c r="C289" t="s">
        <v>11</v>
      </c>
      <c r="D289">
        <v>82</v>
      </c>
      <c r="E289">
        <v>87</v>
      </c>
      <c r="F289">
        <v>0</v>
      </c>
      <c r="G289">
        <v>180</v>
      </c>
      <c r="H289">
        <v>15660</v>
      </c>
      <c r="I289" t="s">
        <v>12</v>
      </c>
    </row>
    <row r="290" spans="1:9" x14ac:dyDescent="0.3">
      <c r="A290" t="s">
        <v>15</v>
      </c>
      <c r="B290" t="s">
        <v>16</v>
      </c>
      <c r="C290" t="s">
        <v>11</v>
      </c>
      <c r="D290">
        <v>119</v>
      </c>
      <c r="E290">
        <v>129</v>
      </c>
      <c r="F290">
        <v>10</v>
      </c>
      <c r="G290">
        <v>164</v>
      </c>
      <c r="H290">
        <v>19516</v>
      </c>
      <c r="I290" t="s">
        <v>12</v>
      </c>
    </row>
    <row r="291" spans="1:9" x14ac:dyDescent="0.3">
      <c r="A291" t="s">
        <v>30</v>
      </c>
      <c r="B291" t="s">
        <v>10</v>
      </c>
      <c r="C291" t="s">
        <v>11</v>
      </c>
      <c r="D291">
        <v>48</v>
      </c>
      <c r="E291">
        <v>58</v>
      </c>
      <c r="F291">
        <v>10</v>
      </c>
      <c r="G291">
        <v>244</v>
      </c>
      <c r="H291">
        <v>11712</v>
      </c>
      <c r="I291" t="s">
        <v>12</v>
      </c>
    </row>
    <row r="292" spans="1:9" x14ac:dyDescent="0.3">
      <c r="A292" t="s">
        <v>22</v>
      </c>
      <c r="B292" t="s">
        <v>23</v>
      </c>
      <c r="C292" t="s">
        <v>25</v>
      </c>
      <c r="D292">
        <v>88</v>
      </c>
      <c r="E292">
        <v>93</v>
      </c>
      <c r="F292">
        <v>5</v>
      </c>
      <c r="G292">
        <v>72</v>
      </c>
      <c r="H292">
        <v>6336</v>
      </c>
      <c r="I292" t="s">
        <v>14</v>
      </c>
    </row>
    <row r="293" spans="1:9" x14ac:dyDescent="0.3">
      <c r="A293" t="s">
        <v>31</v>
      </c>
      <c r="B293" t="s">
        <v>32</v>
      </c>
      <c r="C293" t="s">
        <v>13</v>
      </c>
      <c r="D293">
        <v>32</v>
      </c>
      <c r="E293">
        <v>32</v>
      </c>
      <c r="F293">
        <v>0</v>
      </c>
      <c r="G293">
        <v>67</v>
      </c>
      <c r="H293">
        <v>2144</v>
      </c>
      <c r="I293" t="s">
        <v>12</v>
      </c>
    </row>
    <row r="294" spans="1:9" x14ac:dyDescent="0.3">
      <c r="A294" t="s">
        <v>31</v>
      </c>
      <c r="B294" t="s">
        <v>32</v>
      </c>
      <c r="C294" t="s">
        <v>25</v>
      </c>
      <c r="D294">
        <v>31</v>
      </c>
      <c r="E294">
        <v>46</v>
      </c>
      <c r="F294">
        <v>10</v>
      </c>
      <c r="G294">
        <v>161</v>
      </c>
      <c r="H294">
        <v>5796</v>
      </c>
      <c r="I294" t="s">
        <v>12</v>
      </c>
    </row>
    <row r="295" spans="1:9" x14ac:dyDescent="0.3">
      <c r="A295" t="s">
        <v>26</v>
      </c>
      <c r="B295" t="s">
        <v>27</v>
      </c>
      <c r="C295" t="s">
        <v>13</v>
      </c>
      <c r="D295">
        <v>125</v>
      </c>
      <c r="E295">
        <v>140</v>
      </c>
      <c r="F295">
        <v>0</v>
      </c>
      <c r="G295">
        <v>283</v>
      </c>
      <c r="H295">
        <v>39620</v>
      </c>
      <c r="I295" t="s">
        <v>14</v>
      </c>
    </row>
    <row r="296" spans="1:9" x14ac:dyDescent="0.3">
      <c r="A296" t="s">
        <v>30</v>
      </c>
      <c r="B296" t="s">
        <v>10</v>
      </c>
      <c r="C296" t="s">
        <v>24</v>
      </c>
      <c r="D296">
        <v>134</v>
      </c>
      <c r="E296">
        <v>144</v>
      </c>
      <c r="F296">
        <v>0</v>
      </c>
      <c r="G296">
        <v>190</v>
      </c>
      <c r="H296">
        <v>27360</v>
      </c>
      <c r="I296" t="s">
        <v>14</v>
      </c>
    </row>
    <row r="297" spans="1:9" x14ac:dyDescent="0.3">
      <c r="A297" t="s">
        <v>9</v>
      </c>
      <c r="B297" t="s">
        <v>10</v>
      </c>
      <c r="C297" t="s">
        <v>13</v>
      </c>
      <c r="D297">
        <v>198</v>
      </c>
      <c r="E297">
        <v>198</v>
      </c>
      <c r="F297">
        <v>5</v>
      </c>
      <c r="G297">
        <v>52</v>
      </c>
      <c r="H297">
        <v>10036</v>
      </c>
      <c r="I297" t="s">
        <v>14</v>
      </c>
    </row>
    <row r="298" spans="1:9" x14ac:dyDescent="0.3">
      <c r="A298" t="s">
        <v>22</v>
      </c>
      <c r="B298" t="s">
        <v>23</v>
      </c>
      <c r="C298" t="s">
        <v>17</v>
      </c>
      <c r="D298">
        <v>131</v>
      </c>
      <c r="E298">
        <v>146</v>
      </c>
      <c r="F298">
        <v>10</v>
      </c>
      <c r="G298">
        <v>146</v>
      </c>
      <c r="H298">
        <v>19856</v>
      </c>
      <c r="I298" t="s">
        <v>12</v>
      </c>
    </row>
    <row r="299" spans="1:9" x14ac:dyDescent="0.3">
      <c r="A299" t="s">
        <v>28</v>
      </c>
      <c r="B299" t="s">
        <v>10</v>
      </c>
      <c r="C299" t="s">
        <v>11</v>
      </c>
      <c r="D299">
        <v>171</v>
      </c>
      <c r="E299">
        <v>176</v>
      </c>
      <c r="F299">
        <v>10</v>
      </c>
      <c r="G299">
        <v>291</v>
      </c>
      <c r="H299">
        <v>48306</v>
      </c>
      <c r="I299" t="s">
        <v>12</v>
      </c>
    </row>
    <row r="300" spans="1:9" x14ac:dyDescent="0.3">
      <c r="A300" t="s">
        <v>22</v>
      </c>
      <c r="B300" t="s">
        <v>23</v>
      </c>
      <c r="C300" t="s">
        <v>25</v>
      </c>
      <c r="D300">
        <v>94</v>
      </c>
      <c r="E300">
        <v>99</v>
      </c>
      <c r="F300">
        <v>0</v>
      </c>
      <c r="G300">
        <v>124</v>
      </c>
      <c r="H300">
        <v>12276</v>
      </c>
      <c r="I300" t="s">
        <v>12</v>
      </c>
    </row>
    <row r="301" spans="1:9" x14ac:dyDescent="0.3">
      <c r="A301" t="s">
        <v>30</v>
      </c>
      <c r="B301" t="s">
        <v>10</v>
      </c>
      <c r="C301" t="s">
        <v>21</v>
      </c>
      <c r="D301">
        <v>129</v>
      </c>
      <c r="E301">
        <v>129</v>
      </c>
      <c r="F301">
        <v>10</v>
      </c>
      <c r="G301">
        <v>272</v>
      </c>
      <c r="H301">
        <v>32368</v>
      </c>
      <c r="I30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A18E-9EDA-4FEE-845C-74684146F28B}">
  <dimension ref="A1"/>
  <sheetViews>
    <sheetView showGridLines="0" tabSelected="1" zoomScale="70" zoomScaleNormal="70" workbookViewId="0">
      <selection activeCell="Y15" sqref="Y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B0924-C1F1-44D8-A7FA-A71054F7D503}">
  <dimension ref="A1:P301"/>
  <sheetViews>
    <sheetView workbookViewId="0">
      <selection activeCell="I8" sqref="I8"/>
    </sheetView>
  </sheetViews>
  <sheetFormatPr defaultRowHeight="14.4" x14ac:dyDescent="0.3"/>
  <cols>
    <col min="1" max="1" width="14.5546875" bestFit="1" customWidth="1"/>
    <col min="2" max="2" width="12.5546875" bestFit="1" customWidth="1"/>
    <col min="3" max="3" width="9.77734375" bestFit="1" customWidth="1"/>
    <col min="4" max="4" width="11.6640625" style="15" bestFit="1" customWidth="1"/>
    <col min="5" max="5" width="11.5546875" style="15" bestFit="1" customWidth="1"/>
    <col min="8" max="8" width="12.6640625" style="15" bestFit="1" customWidth="1"/>
    <col min="9" max="9" width="14.77734375" bestFit="1" customWidth="1"/>
    <col min="10" max="10" width="18.109375" bestFit="1" customWidth="1"/>
    <col min="13" max="13" width="24.77734375" bestFit="1" customWidth="1"/>
  </cols>
  <sheetData>
    <row r="1" spans="1:16" x14ac:dyDescent="0.3">
      <c r="A1" s="1" t="s">
        <v>0</v>
      </c>
      <c r="B1" s="1" t="s">
        <v>1</v>
      </c>
      <c r="C1" s="1" t="s">
        <v>2</v>
      </c>
      <c r="D1" s="13" t="s">
        <v>3</v>
      </c>
      <c r="E1" s="13" t="s">
        <v>4</v>
      </c>
      <c r="F1" s="1" t="s">
        <v>5</v>
      </c>
      <c r="G1" s="1" t="s">
        <v>6</v>
      </c>
      <c r="H1" s="13" t="s">
        <v>7</v>
      </c>
      <c r="I1" s="1" t="s">
        <v>8</v>
      </c>
      <c r="J1" s="1" t="s">
        <v>36</v>
      </c>
    </row>
    <row r="2" spans="1:16" x14ac:dyDescent="0.3">
      <c r="A2" s="2" t="s">
        <v>9</v>
      </c>
      <c r="B2" s="2" t="s">
        <v>10</v>
      </c>
      <c r="C2" s="2" t="s">
        <v>11</v>
      </c>
      <c r="D2" s="14">
        <v>148</v>
      </c>
      <c r="E2" s="14">
        <v>163</v>
      </c>
      <c r="F2" s="2">
        <v>5</v>
      </c>
      <c r="G2" s="2">
        <v>283</v>
      </c>
      <c r="H2" s="14">
        <v>44714</v>
      </c>
      <c r="I2" s="2" t="s">
        <v>12</v>
      </c>
      <c r="J2" s="2">
        <f>AVERAGEIF(B2:B301, B2, F2:F301)</f>
        <v>4.8780487804878048</v>
      </c>
      <c r="M2" s="18" t="s">
        <v>35</v>
      </c>
    </row>
    <row r="3" spans="1:16" x14ac:dyDescent="0.3">
      <c r="A3" s="2" t="s">
        <v>9</v>
      </c>
      <c r="B3" s="2" t="s">
        <v>10</v>
      </c>
      <c r="C3" s="2" t="s">
        <v>13</v>
      </c>
      <c r="D3" s="14">
        <v>81</v>
      </c>
      <c r="E3" s="14">
        <v>86</v>
      </c>
      <c r="F3" s="2">
        <v>10</v>
      </c>
      <c r="G3" s="2">
        <v>284</v>
      </c>
      <c r="H3" s="14">
        <v>21584</v>
      </c>
      <c r="I3" s="2" t="s">
        <v>14</v>
      </c>
      <c r="J3" s="2">
        <f t="shared" ref="J3:J66" si="0">AVERAGEIF(B3:B302, B3, F3:F302)</f>
        <v>4.8765432098765435</v>
      </c>
      <c r="M3" s="14">
        <f>SUM(H2:H301)</f>
        <v>5783351</v>
      </c>
    </row>
    <row r="4" spans="1:16" x14ac:dyDescent="0.3">
      <c r="A4" s="2" t="s">
        <v>15</v>
      </c>
      <c r="B4" s="2" t="s">
        <v>16</v>
      </c>
      <c r="C4" s="2" t="s">
        <v>17</v>
      </c>
      <c r="D4" s="14">
        <v>138</v>
      </c>
      <c r="E4" s="14">
        <v>143</v>
      </c>
      <c r="F4" s="2">
        <v>10</v>
      </c>
      <c r="G4" s="2">
        <v>69</v>
      </c>
      <c r="H4" s="14">
        <v>9177</v>
      </c>
      <c r="I4" s="2" t="s">
        <v>12</v>
      </c>
      <c r="J4" s="2">
        <f t="shared" si="0"/>
        <v>4.8214285714285712</v>
      </c>
    </row>
    <row r="5" spans="1:16" x14ac:dyDescent="0.3">
      <c r="A5" s="2" t="s">
        <v>18</v>
      </c>
      <c r="B5" s="2" t="s">
        <v>19</v>
      </c>
      <c r="C5" s="2" t="s">
        <v>11</v>
      </c>
      <c r="D5" s="14">
        <v>127</v>
      </c>
      <c r="E5" s="14">
        <v>127</v>
      </c>
      <c r="F5" s="2">
        <v>10</v>
      </c>
      <c r="G5" s="2">
        <v>83</v>
      </c>
      <c r="H5" s="14">
        <v>9711</v>
      </c>
      <c r="I5" s="2" t="s">
        <v>12</v>
      </c>
      <c r="J5" s="2">
        <f t="shared" si="0"/>
        <v>4.6212121212121211</v>
      </c>
      <c r="M5" s="18" t="s">
        <v>37</v>
      </c>
    </row>
    <row r="6" spans="1:16" x14ac:dyDescent="0.3">
      <c r="A6" s="2" t="s">
        <v>20</v>
      </c>
      <c r="B6" s="2" t="s">
        <v>16</v>
      </c>
      <c r="C6" s="2" t="s">
        <v>21</v>
      </c>
      <c r="D6" s="14">
        <v>34</v>
      </c>
      <c r="E6" s="14">
        <v>49</v>
      </c>
      <c r="F6" s="2">
        <v>10</v>
      </c>
      <c r="G6" s="2">
        <v>169</v>
      </c>
      <c r="H6" s="14">
        <v>6591</v>
      </c>
      <c r="I6" s="2" t="s">
        <v>14</v>
      </c>
      <c r="J6" s="2">
        <f t="shared" si="0"/>
        <v>4.7272727272727275</v>
      </c>
      <c r="M6" s="20">
        <f>AVERAGE(F2:F301)</f>
        <v>4.916666666666667</v>
      </c>
    </row>
    <row r="7" spans="1:16" x14ac:dyDescent="0.3">
      <c r="A7" s="2" t="s">
        <v>22</v>
      </c>
      <c r="B7" s="2" t="s">
        <v>23</v>
      </c>
      <c r="C7" s="2" t="s">
        <v>11</v>
      </c>
      <c r="D7" s="14">
        <v>149</v>
      </c>
      <c r="E7" s="14">
        <v>159</v>
      </c>
      <c r="F7" s="2">
        <v>0</v>
      </c>
      <c r="G7" s="2">
        <v>246</v>
      </c>
      <c r="H7" s="14">
        <v>39114</v>
      </c>
      <c r="I7" s="2" t="s">
        <v>12</v>
      </c>
      <c r="J7" s="2">
        <f t="shared" si="0"/>
        <v>5.5357142857142856</v>
      </c>
    </row>
    <row r="8" spans="1:16" x14ac:dyDescent="0.3">
      <c r="A8" s="2" t="s">
        <v>9</v>
      </c>
      <c r="B8" s="2" t="s">
        <v>10</v>
      </c>
      <c r="C8" s="2" t="s">
        <v>24</v>
      </c>
      <c r="D8" s="14">
        <v>82</v>
      </c>
      <c r="E8" s="14">
        <v>87</v>
      </c>
      <c r="F8" s="2">
        <v>0</v>
      </c>
      <c r="G8" s="2">
        <v>254</v>
      </c>
      <c r="H8" s="14">
        <v>22098</v>
      </c>
      <c r="I8" s="2" t="s">
        <v>14</v>
      </c>
      <c r="J8" s="2">
        <f t="shared" si="0"/>
        <v>4.8125</v>
      </c>
      <c r="M8" s="18" t="s">
        <v>38</v>
      </c>
    </row>
    <row r="9" spans="1:16" x14ac:dyDescent="0.3">
      <c r="A9" s="2" t="s">
        <v>22</v>
      </c>
      <c r="B9" s="2" t="s">
        <v>23</v>
      </c>
      <c r="C9" s="2" t="s">
        <v>24</v>
      </c>
      <c r="D9" s="14">
        <v>46</v>
      </c>
      <c r="E9" s="14">
        <v>51</v>
      </c>
      <c r="F9" s="2">
        <v>5</v>
      </c>
      <c r="G9" s="2">
        <v>179</v>
      </c>
      <c r="H9" s="14">
        <v>8234</v>
      </c>
      <c r="I9" s="2" t="s">
        <v>12</v>
      </c>
      <c r="J9" s="2">
        <f t="shared" si="0"/>
        <v>5.7407407407407405</v>
      </c>
      <c r="M9" s="2">
        <f>SUM(G2:G301)</f>
        <v>50446</v>
      </c>
    </row>
    <row r="10" spans="1:16" x14ac:dyDescent="0.3">
      <c r="A10" s="2" t="s">
        <v>20</v>
      </c>
      <c r="B10" s="2" t="s">
        <v>16</v>
      </c>
      <c r="C10" s="2" t="s">
        <v>25</v>
      </c>
      <c r="D10" s="14">
        <v>137</v>
      </c>
      <c r="E10" s="14">
        <v>137</v>
      </c>
      <c r="F10" s="2">
        <v>10</v>
      </c>
      <c r="G10" s="2">
        <v>268</v>
      </c>
      <c r="H10" s="14">
        <v>34036</v>
      </c>
      <c r="I10" s="2" t="s">
        <v>12</v>
      </c>
      <c r="J10" s="2">
        <f t="shared" si="0"/>
        <v>4.6296296296296298</v>
      </c>
    </row>
    <row r="11" spans="1:16" x14ac:dyDescent="0.3">
      <c r="A11" s="2" t="s">
        <v>26</v>
      </c>
      <c r="B11" s="2" t="s">
        <v>27</v>
      </c>
      <c r="C11" s="2" t="s">
        <v>17</v>
      </c>
      <c r="D11" s="14">
        <v>196</v>
      </c>
      <c r="E11" s="14">
        <v>201</v>
      </c>
      <c r="F11" s="2">
        <v>0</v>
      </c>
      <c r="G11" s="2">
        <v>59</v>
      </c>
      <c r="H11" s="14">
        <v>11859</v>
      </c>
      <c r="I11" s="2" t="s">
        <v>14</v>
      </c>
      <c r="J11" s="2">
        <f t="shared" si="0"/>
        <v>4.583333333333333</v>
      </c>
    </row>
    <row r="12" spans="1:16" x14ac:dyDescent="0.3">
      <c r="A12" s="2" t="s">
        <v>26</v>
      </c>
      <c r="B12" s="2" t="s">
        <v>27</v>
      </c>
      <c r="C12" s="2" t="s">
        <v>17</v>
      </c>
      <c r="D12" s="14">
        <v>109</v>
      </c>
      <c r="E12" s="14">
        <v>114</v>
      </c>
      <c r="F12" s="2">
        <v>0</v>
      </c>
      <c r="G12" s="2">
        <v>241</v>
      </c>
      <c r="H12" s="14">
        <v>27474</v>
      </c>
      <c r="I12" s="2" t="s">
        <v>12</v>
      </c>
      <c r="J12" s="2">
        <f t="shared" si="0"/>
        <v>4.7142857142857144</v>
      </c>
      <c r="M12" s="18" t="s">
        <v>41</v>
      </c>
      <c r="P12">
        <f>SUMIFS(H2:H301, I2:I301, "Yes") / SUM(M3)</f>
        <v>0.28780407760137677</v>
      </c>
    </row>
    <row r="13" spans="1:16" x14ac:dyDescent="0.3">
      <c r="A13" s="2" t="s">
        <v>26</v>
      </c>
      <c r="B13" s="2" t="s">
        <v>27</v>
      </c>
      <c r="C13" s="2" t="s">
        <v>25</v>
      </c>
      <c r="D13" s="14">
        <v>28</v>
      </c>
      <c r="E13" s="14">
        <v>28</v>
      </c>
      <c r="F13" s="2">
        <v>5</v>
      </c>
      <c r="G13" s="2">
        <v>281</v>
      </c>
      <c r="H13" s="14">
        <v>6463</v>
      </c>
      <c r="I13" s="2" t="s">
        <v>12</v>
      </c>
      <c r="J13" s="2">
        <f t="shared" si="0"/>
        <v>4.8529411764705879</v>
      </c>
      <c r="M13" s="19">
        <f>P12</f>
        <v>0.28780407760137677</v>
      </c>
    </row>
    <row r="14" spans="1:16" x14ac:dyDescent="0.3">
      <c r="A14" s="2" t="s">
        <v>26</v>
      </c>
      <c r="B14" s="2" t="s">
        <v>27</v>
      </c>
      <c r="C14" s="2" t="s">
        <v>13</v>
      </c>
      <c r="D14" s="14">
        <v>130</v>
      </c>
      <c r="E14" s="14">
        <v>135</v>
      </c>
      <c r="F14" s="2">
        <v>0</v>
      </c>
      <c r="G14" s="2">
        <v>76</v>
      </c>
      <c r="H14" s="14">
        <v>10260</v>
      </c>
      <c r="I14" s="2" t="s">
        <v>12</v>
      </c>
      <c r="J14" s="2">
        <f t="shared" si="0"/>
        <v>4.8484848484848486</v>
      </c>
    </row>
    <row r="15" spans="1:16" x14ac:dyDescent="0.3">
      <c r="A15" s="2" t="s">
        <v>28</v>
      </c>
      <c r="B15" s="2" t="s">
        <v>10</v>
      </c>
      <c r="C15" s="2" t="s">
        <v>24</v>
      </c>
      <c r="D15" s="14">
        <v>125</v>
      </c>
      <c r="E15" s="14">
        <v>125</v>
      </c>
      <c r="F15" s="2">
        <v>5</v>
      </c>
      <c r="G15" s="2">
        <v>155</v>
      </c>
      <c r="H15" s="14">
        <v>18600</v>
      </c>
      <c r="I15" s="2" t="s">
        <v>12</v>
      </c>
      <c r="J15" s="2">
        <f t="shared" si="0"/>
        <v>4.8734177215189876</v>
      </c>
    </row>
    <row r="16" spans="1:16" x14ac:dyDescent="0.3">
      <c r="A16" s="2" t="s">
        <v>20</v>
      </c>
      <c r="B16" s="2" t="s">
        <v>16</v>
      </c>
      <c r="C16" s="2" t="s">
        <v>11</v>
      </c>
      <c r="D16" s="14">
        <v>56</v>
      </c>
      <c r="E16" s="14">
        <v>66</v>
      </c>
      <c r="F16" s="2">
        <v>0</v>
      </c>
      <c r="G16" s="2">
        <v>89</v>
      </c>
      <c r="H16" s="14">
        <v>5874</v>
      </c>
      <c r="I16" s="2" t="s">
        <v>12</v>
      </c>
      <c r="J16" s="2">
        <f t="shared" si="0"/>
        <v>4.5283018867924527</v>
      </c>
    </row>
    <row r="17" spans="1:10" x14ac:dyDescent="0.3">
      <c r="A17" s="2" t="s">
        <v>29</v>
      </c>
      <c r="B17" s="2" t="s">
        <v>19</v>
      </c>
      <c r="C17" s="2" t="s">
        <v>13</v>
      </c>
      <c r="D17" s="14">
        <v>50</v>
      </c>
      <c r="E17" s="14">
        <v>50</v>
      </c>
      <c r="F17" s="2">
        <v>10</v>
      </c>
      <c r="G17" s="2">
        <v>118</v>
      </c>
      <c r="H17" s="14">
        <v>4720</v>
      </c>
      <c r="I17" s="2" t="s">
        <v>14</v>
      </c>
      <c r="J17" s="2">
        <f t="shared" si="0"/>
        <v>4.5384615384615383</v>
      </c>
    </row>
    <row r="18" spans="1:10" x14ac:dyDescent="0.3">
      <c r="A18" s="2" t="s">
        <v>9</v>
      </c>
      <c r="B18" s="2" t="s">
        <v>10</v>
      </c>
      <c r="C18" s="2" t="s">
        <v>11</v>
      </c>
      <c r="D18" s="14">
        <v>80</v>
      </c>
      <c r="E18" s="14">
        <v>85</v>
      </c>
      <c r="F18" s="2">
        <v>5</v>
      </c>
      <c r="G18" s="2">
        <v>232</v>
      </c>
      <c r="H18" s="14">
        <v>18560</v>
      </c>
      <c r="I18" s="2" t="s">
        <v>12</v>
      </c>
      <c r="J18" s="2">
        <f t="shared" si="0"/>
        <v>4.8717948717948714</v>
      </c>
    </row>
    <row r="19" spans="1:10" x14ac:dyDescent="0.3">
      <c r="A19" s="2" t="s">
        <v>18</v>
      </c>
      <c r="B19" s="2" t="s">
        <v>19</v>
      </c>
      <c r="C19" s="2" t="s">
        <v>24</v>
      </c>
      <c r="D19" s="14">
        <v>164</v>
      </c>
      <c r="E19" s="14">
        <v>174</v>
      </c>
      <c r="F19" s="2">
        <v>0</v>
      </c>
      <c r="G19" s="2">
        <v>100</v>
      </c>
      <c r="H19" s="14">
        <v>17400</v>
      </c>
      <c r="I19" s="2" t="s">
        <v>14</v>
      </c>
      <c r="J19" s="2">
        <f t="shared" si="0"/>
        <v>4.453125</v>
      </c>
    </row>
    <row r="20" spans="1:10" x14ac:dyDescent="0.3">
      <c r="A20" s="2" t="s">
        <v>30</v>
      </c>
      <c r="B20" s="2" t="s">
        <v>10</v>
      </c>
      <c r="C20" s="2" t="s">
        <v>21</v>
      </c>
      <c r="D20" s="14">
        <v>102</v>
      </c>
      <c r="E20" s="14">
        <v>107</v>
      </c>
      <c r="F20" s="2">
        <v>10</v>
      </c>
      <c r="G20" s="2">
        <v>254</v>
      </c>
      <c r="H20" s="14">
        <v>24638</v>
      </c>
      <c r="I20" s="2" t="s">
        <v>12</v>
      </c>
      <c r="J20" s="2">
        <f t="shared" si="0"/>
        <v>4.8701298701298699</v>
      </c>
    </row>
    <row r="21" spans="1:10" x14ac:dyDescent="0.3">
      <c r="A21" s="2" t="s">
        <v>31</v>
      </c>
      <c r="B21" s="2" t="s">
        <v>32</v>
      </c>
      <c r="C21" s="2" t="s">
        <v>25</v>
      </c>
      <c r="D21" s="14">
        <v>195</v>
      </c>
      <c r="E21" s="14">
        <v>205</v>
      </c>
      <c r="F21" s="2">
        <v>0</v>
      </c>
      <c r="G21" s="2">
        <v>223</v>
      </c>
      <c r="H21" s="14">
        <v>45715</v>
      </c>
      <c r="I21" s="2" t="s">
        <v>12</v>
      </c>
      <c r="J21" s="2">
        <f t="shared" si="0"/>
        <v>5.625</v>
      </c>
    </row>
    <row r="22" spans="1:10" x14ac:dyDescent="0.3">
      <c r="A22" s="2" t="s">
        <v>18</v>
      </c>
      <c r="B22" s="2" t="s">
        <v>19</v>
      </c>
      <c r="C22" s="2" t="s">
        <v>17</v>
      </c>
      <c r="D22" s="14">
        <v>154</v>
      </c>
      <c r="E22" s="14">
        <v>159</v>
      </c>
      <c r="F22" s="2">
        <v>5</v>
      </c>
      <c r="G22" s="2">
        <v>253</v>
      </c>
      <c r="H22" s="14">
        <v>38962</v>
      </c>
      <c r="I22" s="2" t="s">
        <v>12</v>
      </c>
      <c r="J22" s="2">
        <f t="shared" si="0"/>
        <v>4.5238095238095237</v>
      </c>
    </row>
    <row r="23" spans="1:10" x14ac:dyDescent="0.3">
      <c r="A23" s="2" t="s">
        <v>22</v>
      </c>
      <c r="B23" s="2" t="s">
        <v>23</v>
      </c>
      <c r="C23" s="2" t="s">
        <v>13</v>
      </c>
      <c r="D23" s="14">
        <v>120</v>
      </c>
      <c r="E23" s="14">
        <v>135</v>
      </c>
      <c r="F23" s="2">
        <v>0</v>
      </c>
      <c r="G23" s="2">
        <v>291</v>
      </c>
      <c r="H23" s="14">
        <v>39285</v>
      </c>
      <c r="I23" s="2" t="s">
        <v>14</v>
      </c>
      <c r="J23" s="2">
        <f t="shared" si="0"/>
        <v>5.7692307692307692</v>
      </c>
    </row>
    <row r="24" spans="1:10" x14ac:dyDescent="0.3">
      <c r="A24" s="2" t="s">
        <v>30</v>
      </c>
      <c r="B24" s="2" t="s">
        <v>10</v>
      </c>
      <c r="C24" s="2" t="s">
        <v>21</v>
      </c>
      <c r="D24" s="14">
        <v>144</v>
      </c>
      <c r="E24" s="14">
        <v>144</v>
      </c>
      <c r="F24" s="2">
        <v>5</v>
      </c>
      <c r="G24" s="2">
        <v>186</v>
      </c>
      <c r="H24" s="14">
        <v>25854</v>
      </c>
      <c r="I24" s="2" t="s">
        <v>14</v>
      </c>
      <c r="J24" s="2">
        <f t="shared" si="0"/>
        <v>4.8026315789473681</v>
      </c>
    </row>
    <row r="25" spans="1:10" x14ac:dyDescent="0.3">
      <c r="A25" s="2" t="s">
        <v>26</v>
      </c>
      <c r="B25" s="2" t="s">
        <v>27</v>
      </c>
      <c r="C25" s="2" t="s">
        <v>25</v>
      </c>
      <c r="D25" s="14">
        <v>118</v>
      </c>
      <c r="E25" s="14">
        <v>123</v>
      </c>
      <c r="F25" s="2">
        <v>5</v>
      </c>
      <c r="G25" s="2">
        <v>124</v>
      </c>
      <c r="H25" s="14">
        <v>14632</v>
      </c>
      <c r="I25" s="2" t="s">
        <v>12</v>
      </c>
      <c r="J25" s="2">
        <f t="shared" si="0"/>
        <v>5</v>
      </c>
    </row>
    <row r="26" spans="1:10" x14ac:dyDescent="0.3">
      <c r="A26" s="2" t="s">
        <v>18</v>
      </c>
      <c r="B26" s="2" t="s">
        <v>19</v>
      </c>
      <c r="C26" s="2" t="s">
        <v>17</v>
      </c>
      <c r="D26" s="14">
        <v>41</v>
      </c>
      <c r="E26" s="14">
        <v>51</v>
      </c>
      <c r="F26" s="2">
        <v>10</v>
      </c>
      <c r="G26" s="2">
        <v>53</v>
      </c>
      <c r="H26" s="14">
        <v>2173</v>
      </c>
      <c r="I26" s="2" t="s">
        <v>14</v>
      </c>
      <c r="J26" s="2">
        <f t="shared" si="0"/>
        <v>4.5161290322580649</v>
      </c>
    </row>
    <row r="27" spans="1:10" x14ac:dyDescent="0.3">
      <c r="A27" s="2" t="s">
        <v>26</v>
      </c>
      <c r="B27" s="2" t="s">
        <v>27</v>
      </c>
      <c r="C27" s="2" t="s">
        <v>24</v>
      </c>
      <c r="D27" s="14">
        <v>147</v>
      </c>
      <c r="E27" s="14">
        <v>147</v>
      </c>
      <c r="F27" s="2">
        <v>10</v>
      </c>
      <c r="G27" s="2">
        <v>167</v>
      </c>
      <c r="H27" s="14">
        <v>22879</v>
      </c>
      <c r="I27" s="2" t="s">
        <v>12</v>
      </c>
      <c r="J27" s="2">
        <f t="shared" si="0"/>
        <v>5</v>
      </c>
    </row>
    <row r="28" spans="1:10" x14ac:dyDescent="0.3">
      <c r="A28" s="2" t="s">
        <v>15</v>
      </c>
      <c r="B28" s="2" t="s">
        <v>16</v>
      </c>
      <c r="C28" s="2" t="s">
        <v>13</v>
      </c>
      <c r="D28" s="14">
        <v>111</v>
      </c>
      <c r="E28" s="14">
        <v>121</v>
      </c>
      <c r="F28" s="2">
        <v>10</v>
      </c>
      <c r="G28" s="2">
        <v>227</v>
      </c>
      <c r="H28" s="14">
        <v>25197</v>
      </c>
      <c r="I28" s="2" t="s">
        <v>12</v>
      </c>
      <c r="J28" s="2">
        <f t="shared" si="0"/>
        <v>4.615384615384615</v>
      </c>
    </row>
    <row r="29" spans="1:10" x14ac:dyDescent="0.3">
      <c r="A29" s="2" t="s">
        <v>29</v>
      </c>
      <c r="B29" s="2" t="s">
        <v>19</v>
      </c>
      <c r="C29" s="2" t="s">
        <v>25</v>
      </c>
      <c r="D29" s="14">
        <v>182</v>
      </c>
      <c r="E29" s="14">
        <v>192</v>
      </c>
      <c r="F29" s="2">
        <v>5</v>
      </c>
      <c r="G29" s="2">
        <v>56</v>
      </c>
      <c r="H29" s="14">
        <v>10472</v>
      </c>
      <c r="I29" s="2" t="s">
        <v>14</v>
      </c>
      <c r="J29" s="2">
        <f t="shared" si="0"/>
        <v>4.4262295081967213</v>
      </c>
    </row>
    <row r="30" spans="1:10" x14ac:dyDescent="0.3">
      <c r="A30" s="2" t="s">
        <v>18</v>
      </c>
      <c r="B30" s="2" t="s">
        <v>19</v>
      </c>
      <c r="C30" s="2" t="s">
        <v>25</v>
      </c>
      <c r="D30" s="14">
        <v>160</v>
      </c>
      <c r="E30" s="14">
        <v>160</v>
      </c>
      <c r="F30" s="2">
        <v>0</v>
      </c>
      <c r="G30" s="2">
        <v>150</v>
      </c>
      <c r="H30" s="14">
        <v>24000</v>
      </c>
      <c r="I30" s="2" t="s">
        <v>12</v>
      </c>
      <c r="J30" s="2">
        <f t="shared" si="0"/>
        <v>4.416666666666667</v>
      </c>
    </row>
    <row r="31" spans="1:10" x14ac:dyDescent="0.3">
      <c r="A31" s="2" t="s">
        <v>9</v>
      </c>
      <c r="B31" s="2" t="s">
        <v>10</v>
      </c>
      <c r="C31" s="2" t="s">
        <v>21</v>
      </c>
      <c r="D31" s="14">
        <v>175</v>
      </c>
      <c r="E31" s="14">
        <v>175</v>
      </c>
      <c r="F31" s="2">
        <v>0</v>
      </c>
      <c r="G31" s="2">
        <v>210</v>
      </c>
      <c r="H31" s="14">
        <v>36750</v>
      </c>
      <c r="I31" s="2" t="s">
        <v>12</v>
      </c>
      <c r="J31" s="2">
        <f t="shared" si="0"/>
        <v>4.8</v>
      </c>
    </row>
    <row r="32" spans="1:10" x14ac:dyDescent="0.3">
      <c r="A32" s="2" t="s">
        <v>26</v>
      </c>
      <c r="B32" s="2" t="s">
        <v>27</v>
      </c>
      <c r="C32" s="2" t="s">
        <v>13</v>
      </c>
      <c r="D32" s="14">
        <v>122</v>
      </c>
      <c r="E32" s="14">
        <v>127</v>
      </c>
      <c r="F32" s="2">
        <v>10</v>
      </c>
      <c r="G32" s="2">
        <v>122</v>
      </c>
      <c r="H32" s="14">
        <v>14274</v>
      </c>
      <c r="I32" s="2" t="s">
        <v>12</v>
      </c>
      <c r="J32" s="2">
        <f t="shared" si="0"/>
        <v>4.833333333333333</v>
      </c>
    </row>
    <row r="33" spans="1:10" x14ac:dyDescent="0.3">
      <c r="A33" s="2" t="s">
        <v>26</v>
      </c>
      <c r="B33" s="2" t="s">
        <v>27</v>
      </c>
      <c r="C33" s="2" t="s">
        <v>17</v>
      </c>
      <c r="D33" s="14">
        <v>124</v>
      </c>
      <c r="E33" s="14">
        <v>139</v>
      </c>
      <c r="F33" s="2">
        <v>5</v>
      </c>
      <c r="G33" s="2">
        <v>58</v>
      </c>
      <c r="H33" s="14">
        <v>7772</v>
      </c>
      <c r="I33" s="2" t="s">
        <v>12</v>
      </c>
      <c r="J33" s="2">
        <f t="shared" si="0"/>
        <v>4.6551724137931032</v>
      </c>
    </row>
    <row r="34" spans="1:10" x14ac:dyDescent="0.3">
      <c r="A34" s="2" t="s">
        <v>28</v>
      </c>
      <c r="B34" s="2" t="s">
        <v>10</v>
      </c>
      <c r="C34" s="2" t="s">
        <v>13</v>
      </c>
      <c r="D34" s="14">
        <v>159</v>
      </c>
      <c r="E34" s="14">
        <v>164</v>
      </c>
      <c r="F34" s="2">
        <v>10</v>
      </c>
      <c r="G34" s="2">
        <v>83</v>
      </c>
      <c r="H34" s="14">
        <v>12782</v>
      </c>
      <c r="I34" s="2" t="s">
        <v>14</v>
      </c>
      <c r="J34" s="2">
        <f t="shared" si="0"/>
        <v>4.8648648648648649</v>
      </c>
    </row>
    <row r="35" spans="1:10" x14ac:dyDescent="0.3">
      <c r="A35" s="2" t="s">
        <v>22</v>
      </c>
      <c r="B35" s="2" t="s">
        <v>23</v>
      </c>
      <c r="C35" s="2" t="s">
        <v>17</v>
      </c>
      <c r="D35" s="14">
        <v>142</v>
      </c>
      <c r="E35" s="14">
        <v>157</v>
      </c>
      <c r="F35" s="2">
        <v>10</v>
      </c>
      <c r="G35" s="2">
        <v>196</v>
      </c>
      <c r="H35" s="14">
        <v>28812</v>
      </c>
      <c r="I35" s="2" t="s">
        <v>14</v>
      </c>
      <c r="J35" s="2">
        <f t="shared" si="0"/>
        <v>6</v>
      </c>
    </row>
    <row r="36" spans="1:10" x14ac:dyDescent="0.3">
      <c r="A36" s="2" t="s">
        <v>20</v>
      </c>
      <c r="B36" s="2" t="s">
        <v>16</v>
      </c>
      <c r="C36" s="2" t="s">
        <v>13</v>
      </c>
      <c r="D36" s="14">
        <v>80</v>
      </c>
      <c r="E36" s="14">
        <v>90</v>
      </c>
      <c r="F36" s="2">
        <v>5</v>
      </c>
      <c r="G36" s="2">
        <v>246</v>
      </c>
      <c r="H36" s="14">
        <v>20910</v>
      </c>
      <c r="I36" s="2" t="s">
        <v>12</v>
      </c>
      <c r="J36" s="2">
        <f t="shared" si="0"/>
        <v>4.5098039215686274</v>
      </c>
    </row>
    <row r="37" spans="1:10" x14ac:dyDescent="0.3">
      <c r="A37" s="2" t="s">
        <v>28</v>
      </c>
      <c r="B37" s="2" t="s">
        <v>10</v>
      </c>
      <c r="C37" s="2" t="s">
        <v>24</v>
      </c>
      <c r="D37" s="14">
        <v>20</v>
      </c>
      <c r="E37" s="14">
        <v>25</v>
      </c>
      <c r="F37" s="2">
        <v>0</v>
      </c>
      <c r="G37" s="2">
        <v>82</v>
      </c>
      <c r="H37" s="14">
        <v>2050</v>
      </c>
      <c r="I37" s="2" t="s">
        <v>12</v>
      </c>
      <c r="J37" s="2">
        <f t="shared" si="0"/>
        <v>4.7945205479452051</v>
      </c>
    </row>
    <row r="38" spans="1:10" x14ac:dyDescent="0.3">
      <c r="A38" s="2" t="s">
        <v>9</v>
      </c>
      <c r="B38" s="2" t="s">
        <v>10</v>
      </c>
      <c r="C38" s="2" t="s">
        <v>25</v>
      </c>
      <c r="D38" s="14">
        <v>138</v>
      </c>
      <c r="E38" s="14">
        <v>138</v>
      </c>
      <c r="F38" s="2">
        <v>10</v>
      </c>
      <c r="G38" s="2">
        <v>129</v>
      </c>
      <c r="H38" s="14">
        <v>16512</v>
      </c>
      <c r="I38" s="2" t="s">
        <v>12</v>
      </c>
      <c r="J38" s="2">
        <f t="shared" si="0"/>
        <v>4.8611111111111107</v>
      </c>
    </row>
    <row r="39" spans="1:10" x14ac:dyDescent="0.3">
      <c r="A39" s="2" t="s">
        <v>18</v>
      </c>
      <c r="B39" s="2" t="s">
        <v>19</v>
      </c>
      <c r="C39" s="2" t="s">
        <v>25</v>
      </c>
      <c r="D39" s="14">
        <v>87</v>
      </c>
      <c r="E39" s="14">
        <v>97</v>
      </c>
      <c r="F39" s="2">
        <v>5</v>
      </c>
      <c r="G39" s="2">
        <v>126</v>
      </c>
      <c r="H39" s="14">
        <v>11592</v>
      </c>
      <c r="I39" s="2" t="s">
        <v>12</v>
      </c>
      <c r="J39" s="2">
        <f t="shared" si="0"/>
        <v>4.4915254237288131</v>
      </c>
    </row>
    <row r="40" spans="1:10" x14ac:dyDescent="0.3">
      <c r="A40" s="2" t="s">
        <v>29</v>
      </c>
      <c r="B40" s="2" t="s">
        <v>19</v>
      </c>
      <c r="C40" s="2" t="s">
        <v>25</v>
      </c>
      <c r="D40" s="14">
        <v>91</v>
      </c>
      <c r="E40" s="14">
        <v>91</v>
      </c>
      <c r="F40" s="2">
        <v>0</v>
      </c>
      <c r="G40" s="2">
        <v>239</v>
      </c>
      <c r="H40" s="14">
        <v>21749</v>
      </c>
      <c r="I40" s="2" t="s">
        <v>12</v>
      </c>
      <c r="J40" s="2">
        <f t="shared" si="0"/>
        <v>4.4827586206896548</v>
      </c>
    </row>
    <row r="41" spans="1:10" x14ac:dyDescent="0.3">
      <c r="A41" s="2" t="s">
        <v>9</v>
      </c>
      <c r="B41" s="2" t="s">
        <v>10</v>
      </c>
      <c r="C41" s="2" t="s">
        <v>24</v>
      </c>
      <c r="D41" s="14">
        <v>108</v>
      </c>
      <c r="E41" s="14">
        <v>113</v>
      </c>
      <c r="F41" s="2">
        <v>0</v>
      </c>
      <c r="G41" s="2">
        <v>56</v>
      </c>
      <c r="H41" s="14">
        <v>6328</v>
      </c>
      <c r="I41" s="2" t="s">
        <v>12</v>
      </c>
      <c r="J41" s="2">
        <f t="shared" si="0"/>
        <v>4.788732394366197</v>
      </c>
    </row>
    <row r="42" spans="1:10" x14ac:dyDescent="0.3">
      <c r="A42" s="2" t="s">
        <v>29</v>
      </c>
      <c r="B42" s="2" t="s">
        <v>19</v>
      </c>
      <c r="C42" s="2" t="s">
        <v>13</v>
      </c>
      <c r="D42" s="14">
        <v>188</v>
      </c>
      <c r="E42" s="14">
        <v>198</v>
      </c>
      <c r="F42" s="2">
        <v>10</v>
      </c>
      <c r="G42" s="2">
        <v>81</v>
      </c>
      <c r="H42" s="14">
        <v>15228</v>
      </c>
      <c r="I42" s="2" t="s">
        <v>12</v>
      </c>
      <c r="J42" s="2">
        <f t="shared" si="0"/>
        <v>4.5614035087719298</v>
      </c>
    </row>
    <row r="43" spans="1:10" x14ac:dyDescent="0.3">
      <c r="A43" s="2" t="s">
        <v>31</v>
      </c>
      <c r="B43" s="2" t="s">
        <v>32</v>
      </c>
      <c r="C43" s="2" t="s">
        <v>25</v>
      </c>
      <c r="D43" s="14">
        <v>74</v>
      </c>
      <c r="E43" s="14">
        <v>74</v>
      </c>
      <c r="F43" s="2">
        <v>0</v>
      </c>
      <c r="G43" s="2">
        <v>68</v>
      </c>
      <c r="H43" s="14">
        <v>5032</v>
      </c>
      <c r="I43" s="2" t="s">
        <v>12</v>
      </c>
      <c r="J43" s="2">
        <f t="shared" si="0"/>
        <v>5.806451612903226</v>
      </c>
    </row>
    <row r="44" spans="1:10" x14ac:dyDescent="0.3">
      <c r="A44" s="2" t="s">
        <v>30</v>
      </c>
      <c r="B44" s="2" t="s">
        <v>10</v>
      </c>
      <c r="C44" s="2" t="s">
        <v>21</v>
      </c>
      <c r="D44" s="14">
        <v>96</v>
      </c>
      <c r="E44" s="14">
        <v>101</v>
      </c>
      <c r="F44" s="2">
        <v>0</v>
      </c>
      <c r="G44" s="2">
        <v>299</v>
      </c>
      <c r="H44" s="14">
        <v>30199</v>
      </c>
      <c r="I44" s="2" t="s">
        <v>12</v>
      </c>
      <c r="J44" s="2">
        <f t="shared" si="0"/>
        <v>4.8571428571428568</v>
      </c>
    </row>
    <row r="45" spans="1:10" x14ac:dyDescent="0.3">
      <c r="A45" s="2" t="s">
        <v>28</v>
      </c>
      <c r="B45" s="2" t="s">
        <v>10</v>
      </c>
      <c r="C45" s="2" t="s">
        <v>11</v>
      </c>
      <c r="D45" s="14">
        <v>177</v>
      </c>
      <c r="E45" s="14">
        <v>187</v>
      </c>
      <c r="F45" s="2">
        <v>5</v>
      </c>
      <c r="G45" s="2">
        <v>143</v>
      </c>
      <c r="H45" s="14">
        <v>26026</v>
      </c>
      <c r="I45" s="2" t="s">
        <v>12</v>
      </c>
      <c r="J45" s="2">
        <f t="shared" si="0"/>
        <v>4.9275362318840576</v>
      </c>
    </row>
    <row r="46" spans="1:10" x14ac:dyDescent="0.3">
      <c r="A46" s="2" t="s">
        <v>29</v>
      </c>
      <c r="B46" s="2" t="s">
        <v>19</v>
      </c>
      <c r="C46" s="2" t="s">
        <v>25</v>
      </c>
      <c r="D46" s="14">
        <v>191</v>
      </c>
      <c r="E46" s="14">
        <v>201</v>
      </c>
      <c r="F46" s="2">
        <v>10</v>
      </c>
      <c r="G46" s="2">
        <v>73</v>
      </c>
      <c r="H46" s="14">
        <v>13943</v>
      </c>
      <c r="I46" s="2" t="s">
        <v>14</v>
      </c>
      <c r="J46" s="2">
        <f t="shared" si="0"/>
        <v>4.4642857142857144</v>
      </c>
    </row>
    <row r="47" spans="1:10" x14ac:dyDescent="0.3">
      <c r="A47" s="2" t="s">
        <v>15</v>
      </c>
      <c r="B47" s="2" t="s">
        <v>16</v>
      </c>
      <c r="C47" s="2" t="s">
        <v>21</v>
      </c>
      <c r="D47" s="14">
        <v>128</v>
      </c>
      <c r="E47" s="14">
        <v>143</v>
      </c>
      <c r="F47" s="2">
        <v>0</v>
      </c>
      <c r="G47" s="2">
        <v>231</v>
      </c>
      <c r="H47" s="14">
        <v>33033</v>
      </c>
      <c r="I47" s="2" t="s">
        <v>14</v>
      </c>
      <c r="J47" s="2">
        <f t="shared" si="0"/>
        <v>4.5</v>
      </c>
    </row>
    <row r="48" spans="1:10" x14ac:dyDescent="0.3">
      <c r="A48" s="2" t="s">
        <v>15</v>
      </c>
      <c r="B48" s="2" t="s">
        <v>16</v>
      </c>
      <c r="C48" s="2" t="s">
        <v>21</v>
      </c>
      <c r="D48" s="14">
        <v>118</v>
      </c>
      <c r="E48" s="14">
        <v>128</v>
      </c>
      <c r="F48" s="2">
        <v>5</v>
      </c>
      <c r="G48" s="2">
        <v>287</v>
      </c>
      <c r="H48" s="14">
        <v>35301</v>
      </c>
      <c r="I48" s="2" t="s">
        <v>12</v>
      </c>
      <c r="J48" s="2">
        <f t="shared" si="0"/>
        <v>4.591836734693878</v>
      </c>
    </row>
    <row r="49" spans="1:10" x14ac:dyDescent="0.3">
      <c r="A49" s="2" t="s">
        <v>31</v>
      </c>
      <c r="B49" s="2" t="s">
        <v>32</v>
      </c>
      <c r="C49" s="2" t="s">
        <v>25</v>
      </c>
      <c r="D49" s="14">
        <v>123</v>
      </c>
      <c r="E49" s="14">
        <v>123</v>
      </c>
      <c r="F49" s="2">
        <v>0</v>
      </c>
      <c r="G49" s="2">
        <v>207</v>
      </c>
      <c r="H49" s="14">
        <v>25461</v>
      </c>
      <c r="I49" s="2" t="s">
        <v>14</v>
      </c>
      <c r="J49" s="2">
        <f t="shared" si="0"/>
        <v>6</v>
      </c>
    </row>
    <row r="50" spans="1:10" x14ac:dyDescent="0.3">
      <c r="A50" s="2" t="s">
        <v>18</v>
      </c>
      <c r="B50" s="2" t="s">
        <v>19</v>
      </c>
      <c r="C50" s="2" t="s">
        <v>24</v>
      </c>
      <c r="D50" s="14">
        <v>86</v>
      </c>
      <c r="E50" s="14">
        <v>86</v>
      </c>
      <c r="F50" s="2">
        <v>0</v>
      </c>
      <c r="G50" s="2">
        <v>198</v>
      </c>
      <c r="H50" s="14">
        <v>17028</v>
      </c>
      <c r="I50" s="2" t="s">
        <v>12</v>
      </c>
      <c r="J50" s="2">
        <f t="shared" si="0"/>
        <v>4.3636363636363633</v>
      </c>
    </row>
    <row r="51" spans="1:10" x14ac:dyDescent="0.3">
      <c r="A51" s="2" t="s">
        <v>29</v>
      </c>
      <c r="B51" s="2" t="s">
        <v>19</v>
      </c>
      <c r="C51" s="2" t="s">
        <v>17</v>
      </c>
      <c r="D51" s="14">
        <v>176</v>
      </c>
      <c r="E51" s="14">
        <v>186</v>
      </c>
      <c r="F51" s="2">
        <v>0</v>
      </c>
      <c r="G51" s="2">
        <v>171</v>
      </c>
      <c r="H51" s="14">
        <v>31806</v>
      </c>
      <c r="I51" s="2" t="s">
        <v>12</v>
      </c>
      <c r="J51" s="2">
        <f t="shared" si="0"/>
        <v>4.4444444444444446</v>
      </c>
    </row>
    <row r="52" spans="1:10" x14ac:dyDescent="0.3">
      <c r="A52" s="2" t="s">
        <v>15</v>
      </c>
      <c r="B52" s="2" t="s">
        <v>16</v>
      </c>
      <c r="C52" s="2" t="s">
        <v>13</v>
      </c>
      <c r="D52" s="14">
        <v>137</v>
      </c>
      <c r="E52" s="14">
        <v>147</v>
      </c>
      <c r="F52" s="2">
        <v>10</v>
      </c>
      <c r="G52" s="2">
        <v>52</v>
      </c>
      <c r="H52" s="14">
        <v>7124</v>
      </c>
      <c r="I52" s="2" t="s">
        <v>12</v>
      </c>
      <c r="J52" s="2">
        <f t="shared" si="0"/>
        <v>4.583333333333333</v>
      </c>
    </row>
    <row r="53" spans="1:10" x14ac:dyDescent="0.3">
      <c r="A53" s="2" t="s">
        <v>30</v>
      </c>
      <c r="B53" s="2" t="s">
        <v>10</v>
      </c>
      <c r="C53" s="2" t="s">
        <v>13</v>
      </c>
      <c r="D53" s="14">
        <v>62</v>
      </c>
      <c r="E53" s="14">
        <v>72</v>
      </c>
      <c r="F53" s="2">
        <v>5</v>
      </c>
      <c r="G53" s="2">
        <v>130</v>
      </c>
      <c r="H53" s="14">
        <v>8710</v>
      </c>
      <c r="I53" s="2" t="s">
        <v>12</v>
      </c>
      <c r="J53" s="2">
        <f t="shared" si="0"/>
        <v>4.9264705882352944</v>
      </c>
    </row>
    <row r="54" spans="1:10" x14ac:dyDescent="0.3">
      <c r="A54" s="2" t="s">
        <v>29</v>
      </c>
      <c r="B54" s="2" t="s">
        <v>19</v>
      </c>
      <c r="C54" s="2" t="s">
        <v>13</v>
      </c>
      <c r="D54" s="14">
        <v>80</v>
      </c>
      <c r="E54" s="14">
        <v>90</v>
      </c>
      <c r="F54" s="2">
        <v>10</v>
      </c>
      <c r="G54" s="2">
        <v>226</v>
      </c>
      <c r="H54" s="14">
        <v>18080</v>
      </c>
      <c r="I54" s="2" t="s">
        <v>14</v>
      </c>
      <c r="J54" s="2">
        <f t="shared" si="0"/>
        <v>4.5283018867924527</v>
      </c>
    </row>
    <row r="55" spans="1:10" x14ac:dyDescent="0.3">
      <c r="A55" s="2" t="s">
        <v>22</v>
      </c>
      <c r="B55" s="2" t="s">
        <v>23</v>
      </c>
      <c r="C55" s="2" t="s">
        <v>25</v>
      </c>
      <c r="D55" s="14">
        <v>37</v>
      </c>
      <c r="E55" s="14">
        <v>37</v>
      </c>
      <c r="F55" s="2">
        <v>5</v>
      </c>
      <c r="G55" s="2">
        <v>209</v>
      </c>
      <c r="H55" s="14">
        <v>6688</v>
      </c>
      <c r="I55" s="2" t="s">
        <v>12</v>
      </c>
      <c r="J55" s="2">
        <f t="shared" si="0"/>
        <v>5.833333333333333</v>
      </c>
    </row>
    <row r="56" spans="1:10" x14ac:dyDescent="0.3">
      <c r="A56" s="2" t="s">
        <v>20</v>
      </c>
      <c r="B56" s="2" t="s">
        <v>16</v>
      </c>
      <c r="C56" s="2" t="s">
        <v>21</v>
      </c>
      <c r="D56" s="14">
        <v>45</v>
      </c>
      <c r="E56" s="14">
        <v>45</v>
      </c>
      <c r="F56" s="2">
        <v>5</v>
      </c>
      <c r="G56" s="2">
        <v>94</v>
      </c>
      <c r="H56" s="14">
        <v>3760</v>
      </c>
      <c r="I56" s="2" t="s">
        <v>12</v>
      </c>
      <c r="J56" s="2">
        <f t="shared" si="0"/>
        <v>4.4680851063829783</v>
      </c>
    </row>
    <row r="57" spans="1:10" x14ac:dyDescent="0.3">
      <c r="A57" s="2" t="s">
        <v>20</v>
      </c>
      <c r="B57" s="2" t="s">
        <v>16</v>
      </c>
      <c r="C57" s="2" t="s">
        <v>11</v>
      </c>
      <c r="D57" s="14">
        <v>68</v>
      </c>
      <c r="E57" s="14">
        <v>83</v>
      </c>
      <c r="F57" s="2">
        <v>5</v>
      </c>
      <c r="G57" s="2">
        <v>101</v>
      </c>
      <c r="H57" s="14">
        <v>7878</v>
      </c>
      <c r="I57" s="2" t="s">
        <v>14</v>
      </c>
      <c r="J57" s="2">
        <f t="shared" si="0"/>
        <v>4.4565217391304346</v>
      </c>
    </row>
    <row r="58" spans="1:10" x14ac:dyDescent="0.3">
      <c r="A58" s="2" t="s">
        <v>26</v>
      </c>
      <c r="B58" s="2" t="s">
        <v>27</v>
      </c>
      <c r="C58" s="2" t="s">
        <v>17</v>
      </c>
      <c r="D58" s="14">
        <v>182</v>
      </c>
      <c r="E58" s="14">
        <v>197</v>
      </c>
      <c r="F58" s="2">
        <v>0</v>
      </c>
      <c r="G58" s="2">
        <v>294</v>
      </c>
      <c r="H58" s="14">
        <v>57918</v>
      </c>
      <c r="I58" s="2" t="s">
        <v>12</v>
      </c>
      <c r="J58" s="2">
        <f t="shared" si="0"/>
        <v>4.6428571428571432</v>
      </c>
    </row>
    <row r="59" spans="1:10" x14ac:dyDescent="0.3">
      <c r="A59" s="2" t="s">
        <v>28</v>
      </c>
      <c r="B59" s="2" t="s">
        <v>10</v>
      </c>
      <c r="C59" s="2" t="s">
        <v>11</v>
      </c>
      <c r="D59" s="14">
        <v>188</v>
      </c>
      <c r="E59" s="14">
        <v>203</v>
      </c>
      <c r="F59" s="2">
        <v>10</v>
      </c>
      <c r="G59" s="2">
        <v>279</v>
      </c>
      <c r="H59" s="14">
        <v>53847</v>
      </c>
      <c r="I59" s="2" t="s">
        <v>12</v>
      </c>
      <c r="J59" s="2">
        <f t="shared" si="0"/>
        <v>4.9253731343283578</v>
      </c>
    </row>
    <row r="60" spans="1:10" x14ac:dyDescent="0.3">
      <c r="A60" s="2" t="s">
        <v>18</v>
      </c>
      <c r="B60" s="2" t="s">
        <v>19</v>
      </c>
      <c r="C60" s="2" t="s">
        <v>11</v>
      </c>
      <c r="D60" s="14">
        <v>135</v>
      </c>
      <c r="E60" s="14">
        <v>140</v>
      </c>
      <c r="F60" s="2">
        <v>5</v>
      </c>
      <c r="G60" s="2">
        <v>162</v>
      </c>
      <c r="H60" s="14">
        <v>21870</v>
      </c>
      <c r="I60" s="2" t="s">
        <v>12</v>
      </c>
      <c r="J60" s="2">
        <f t="shared" si="0"/>
        <v>4.4230769230769234</v>
      </c>
    </row>
    <row r="61" spans="1:10" x14ac:dyDescent="0.3">
      <c r="A61" s="2" t="s">
        <v>22</v>
      </c>
      <c r="B61" s="2" t="s">
        <v>23</v>
      </c>
      <c r="C61" s="2" t="s">
        <v>17</v>
      </c>
      <c r="D61" s="14">
        <v>193</v>
      </c>
      <c r="E61" s="14">
        <v>193</v>
      </c>
      <c r="F61" s="2">
        <v>10</v>
      </c>
      <c r="G61" s="2">
        <v>159</v>
      </c>
      <c r="H61" s="14">
        <v>29097</v>
      </c>
      <c r="I61" s="2" t="s">
        <v>12</v>
      </c>
      <c r="J61" s="2">
        <f t="shared" si="0"/>
        <v>5.8695652173913047</v>
      </c>
    </row>
    <row r="62" spans="1:10" x14ac:dyDescent="0.3">
      <c r="A62" s="2" t="s">
        <v>30</v>
      </c>
      <c r="B62" s="2" t="s">
        <v>10</v>
      </c>
      <c r="C62" s="2" t="s">
        <v>25</v>
      </c>
      <c r="D62" s="14">
        <v>150</v>
      </c>
      <c r="E62" s="14">
        <v>165</v>
      </c>
      <c r="F62" s="2">
        <v>0</v>
      </c>
      <c r="G62" s="2">
        <v>179</v>
      </c>
      <c r="H62" s="14">
        <v>29535</v>
      </c>
      <c r="I62" s="2" t="s">
        <v>12</v>
      </c>
      <c r="J62" s="2">
        <f t="shared" si="0"/>
        <v>4.8484848484848486</v>
      </c>
    </row>
    <row r="63" spans="1:10" x14ac:dyDescent="0.3">
      <c r="A63" s="2" t="s">
        <v>20</v>
      </c>
      <c r="B63" s="2" t="s">
        <v>16</v>
      </c>
      <c r="C63" s="2" t="s">
        <v>17</v>
      </c>
      <c r="D63" s="14">
        <v>160</v>
      </c>
      <c r="E63" s="14">
        <v>165</v>
      </c>
      <c r="F63" s="2">
        <v>0</v>
      </c>
      <c r="G63" s="2">
        <v>244</v>
      </c>
      <c r="H63" s="14">
        <v>40260</v>
      </c>
      <c r="I63" s="2" t="s">
        <v>12</v>
      </c>
      <c r="J63" s="2">
        <f t="shared" si="0"/>
        <v>4.4444444444444446</v>
      </c>
    </row>
    <row r="64" spans="1:10" x14ac:dyDescent="0.3">
      <c r="A64" s="2" t="s">
        <v>28</v>
      </c>
      <c r="B64" s="2" t="s">
        <v>10</v>
      </c>
      <c r="C64" s="2" t="s">
        <v>25</v>
      </c>
      <c r="D64" s="14">
        <v>123</v>
      </c>
      <c r="E64" s="14">
        <v>138</v>
      </c>
      <c r="F64" s="2">
        <v>0</v>
      </c>
      <c r="G64" s="2">
        <v>174</v>
      </c>
      <c r="H64" s="14">
        <v>24012</v>
      </c>
      <c r="I64" s="2" t="s">
        <v>14</v>
      </c>
      <c r="J64" s="2">
        <f t="shared" si="0"/>
        <v>4.9230769230769234</v>
      </c>
    </row>
    <row r="65" spans="1:10" x14ac:dyDescent="0.3">
      <c r="A65" s="2" t="s">
        <v>22</v>
      </c>
      <c r="B65" s="2" t="s">
        <v>23</v>
      </c>
      <c r="C65" s="2" t="s">
        <v>17</v>
      </c>
      <c r="D65" s="14">
        <v>99</v>
      </c>
      <c r="E65" s="14">
        <v>104</v>
      </c>
      <c r="F65" s="2">
        <v>0</v>
      </c>
      <c r="G65" s="2">
        <v>211</v>
      </c>
      <c r="H65" s="14">
        <v>21944</v>
      </c>
      <c r="I65" s="2" t="s">
        <v>12</v>
      </c>
      <c r="J65" s="2">
        <f t="shared" si="0"/>
        <v>5.6818181818181817</v>
      </c>
    </row>
    <row r="66" spans="1:10" x14ac:dyDescent="0.3">
      <c r="A66" s="2" t="s">
        <v>29</v>
      </c>
      <c r="B66" s="2" t="s">
        <v>19</v>
      </c>
      <c r="C66" s="2" t="s">
        <v>11</v>
      </c>
      <c r="D66" s="14">
        <v>140</v>
      </c>
      <c r="E66" s="14">
        <v>140</v>
      </c>
      <c r="F66" s="2">
        <v>10</v>
      </c>
      <c r="G66" s="2">
        <v>269</v>
      </c>
      <c r="H66" s="14">
        <v>34970</v>
      </c>
      <c r="I66" s="2" t="s">
        <v>12</v>
      </c>
      <c r="J66" s="2">
        <f t="shared" si="0"/>
        <v>4.4117647058823533</v>
      </c>
    </row>
    <row r="67" spans="1:10" x14ac:dyDescent="0.3">
      <c r="A67" s="2" t="s">
        <v>18</v>
      </c>
      <c r="B67" s="2" t="s">
        <v>19</v>
      </c>
      <c r="C67" s="2" t="s">
        <v>17</v>
      </c>
      <c r="D67" s="14">
        <v>185</v>
      </c>
      <c r="E67" s="14">
        <v>185</v>
      </c>
      <c r="F67" s="2">
        <v>10</v>
      </c>
      <c r="G67" s="2">
        <v>200</v>
      </c>
      <c r="H67" s="14">
        <v>35000</v>
      </c>
      <c r="I67" s="2" t="s">
        <v>12</v>
      </c>
      <c r="J67" s="2">
        <f t="shared" ref="J67:J130" si="1">AVERAGEIF(B67:B366, B67, F67:F366)</f>
        <v>4.3</v>
      </c>
    </row>
    <row r="68" spans="1:10" x14ac:dyDescent="0.3">
      <c r="A68" s="2" t="s">
        <v>9</v>
      </c>
      <c r="B68" s="2" t="s">
        <v>10</v>
      </c>
      <c r="C68" s="2" t="s">
        <v>21</v>
      </c>
      <c r="D68" s="14">
        <v>172</v>
      </c>
      <c r="E68" s="14">
        <v>172</v>
      </c>
      <c r="F68" s="2">
        <v>10</v>
      </c>
      <c r="G68" s="2">
        <v>132</v>
      </c>
      <c r="H68" s="14">
        <v>21384</v>
      </c>
      <c r="I68" s="2" t="s">
        <v>12</v>
      </c>
      <c r="J68" s="2">
        <f t="shared" si="1"/>
        <v>5</v>
      </c>
    </row>
    <row r="69" spans="1:10" x14ac:dyDescent="0.3">
      <c r="A69" s="2" t="s">
        <v>30</v>
      </c>
      <c r="B69" s="2" t="s">
        <v>10</v>
      </c>
      <c r="C69" s="2" t="s">
        <v>24</v>
      </c>
      <c r="D69" s="14">
        <v>139</v>
      </c>
      <c r="E69" s="14">
        <v>144</v>
      </c>
      <c r="F69" s="2">
        <v>0</v>
      </c>
      <c r="G69" s="2">
        <v>253</v>
      </c>
      <c r="H69" s="14">
        <v>36432</v>
      </c>
      <c r="I69" s="2" t="s">
        <v>14</v>
      </c>
      <c r="J69" s="2">
        <f t="shared" si="1"/>
        <v>4.9206349206349209</v>
      </c>
    </row>
    <row r="70" spans="1:10" x14ac:dyDescent="0.3">
      <c r="A70" s="2" t="s">
        <v>30</v>
      </c>
      <c r="B70" s="2" t="s">
        <v>10</v>
      </c>
      <c r="C70" s="2" t="s">
        <v>25</v>
      </c>
      <c r="D70" s="14">
        <v>180</v>
      </c>
      <c r="E70" s="14">
        <v>190</v>
      </c>
      <c r="F70" s="2">
        <v>10</v>
      </c>
      <c r="G70" s="2">
        <v>156</v>
      </c>
      <c r="H70" s="14">
        <v>28080</v>
      </c>
      <c r="I70" s="2" t="s">
        <v>14</v>
      </c>
      <c r="J70" s="2">
        <f t="shared" si="1"/>
        <v>5</v>
      </c>
    </row>
    <row r="71" spans="1:10" x14ac:dyDescent="0.3">
      <c r="A71" s="2" t="s">
        <v>20</v>
      </c>
      <c r="B71" s="2" t="s">
        <v>16</v>
      </c>
      <c r="C71" s="2" t="s">
        <v>13</v>
      </c>
      <c r="D71" s="14">
        <v>155</v>
      </c>
      <c r="E71" s="14">
        <v>165</v>
      </c>
      <c r="F71" s="2">
        <v>10</v>
      </c>
      <c r="G71" s="2">
        <v>74</v>
      </c>
      <c r="H71" s="14">
        <v>11470</v>
      </c>
      <c r="I71" s="2" t="s">
        <v>12</v>
      </c>
      <c r="J71" s="2">
        <f t="shared" si="1"/>
        <v>4.5454545454545459</v>
      </c>
    </row>
    <row r="72" spans="1:10" x14ac:dyDescent="0.3">
      <c r="A72" s="2" t="s">
        <v>20</v>
      </c>
      <c r="B72" s="2" t="s">
        <v>16</v>
      </c>
      <c r="C72" s="2" t="s">
        <v>13</v>
      </c>
      <c r="D72" s="14">
        <v>105</v>
      </c>
      <c r="E72" s="14">
        <v>105</v>
      </c>
      <c r="F72" s="2">
        <v>5</v>
      </c>
      <c r="G72" s="2">
        <v>295</v>
      </c>
      <c r="H72" s="14">
        <v>29500</v>
      </c>
      <c r="I72" s="2" t="s">
        <v>14</v>
      </c>
      <c r="J72" s="2">
        <f t="shared" si="1"/>
        <v>4.4186046511627906</v>
      </c>
    </row>
    <row r="73" spans="1:10" x14ac:dyDescent="0.3">
      <c r="A73" s="2" t="s">
        <v>26</v>
      </c>
      <c r="B73" s="2" t="s">
        <v>27</v>
      </c>
      <c r="C73" s="2" t="s">
        <v>25</v>
      </c>
      <c r="D73" s="14">
        <v>49</v>
      </c>
      <c r="E73" s="14">
        <v>49</v>
      </c>
      <c r="F73" s="2">
        <v>10</v>
      </c>
      <c r="G73" s="2">
        <v>99</v>
      </c>
      <c r="H73" s="14">
        <v>3861</v>
      </c>
      <c r="I73" s="2" t="s">
        <v>14</v>
      </c>
      <c r="J73" s="2">
        <f t="shared" si="1"/>
        <v>4.8148148148148149</v>
      </c>
    </row>
    <row r="74" spans="1:10" x14ac:dyDescent="0.3">
      <c r="A74" s="2" t="s">
        <v>18</v>
      </c>
      <c r="B74" s="2" t="s">
        <v>19</v>
      </c>
      <c r="C74" s="2" t="s">
        <v>24</v>
      </c>
      <c r="D74" s="14">
        <v>53</v>
      </c>
      <c r="E74" s="14">
        <v>63</v>
      </c>
      <c r="F74" s="2">
        <v>0</v>
      </c>
      <c r="G74" s="2">
        <v>179</v>
      </c>
      <c r="H74" s="14">
        <v>11277</v>
      </c>
      <c r="I74" s="2" t="s">
        <v>12</v>
      </c>
      <c r="J74" s="2">
        <f t="shared" si="1"/>
        <v>4.1836734693877551</v>
      </c>
    </row>
    <row r="75" spans="1:10" x14ac:dyDescent="0.3">
      <c r="A75" s="2" t="s">
        <v>29</v>
      </c>
      <c r="B75" s="2" t="s">
        <v>19</v>
      </c>
      <c r="C75" s="2" t="s">
        <v>25</v>
      </c>
      <c r="D75" s="14">
        <v>99</v>
      </c>
      <c r="E75" s="14">
        <v>109</v>
      </c>
      <c r="F75" s="2">
        <v>0</v>
      </c>
      <c r="G75" s="2">
        <v>297</v>
      </c>
      <c r="H75" s="14">
        <v>32373</v>
      </c>
      <c r="I75" s="2" t="s">
        <v>14</v>
      </c>
      <c r="J75" s="2">
        <f t="shared" si="1"/>
        <v>4.270833333333333</v>
      </c>
    </row>
    <row r="76" spans="1:10" x14ac:dyDescent="0.3">
      <c r="A76" s="2" t="s">
        <v>20</v>
      </c>
      <c r="B76" s="2" t="s">
        <v>16</v>
      </c>
      <c r="C76" s="2" t="s">
        <v>11</v>
      </c>
      <c r="D76" s="14">
        <v>159</v>
      </c>
      <c r="E76" s="14">
        <v>174</v>
      </c>
      <c r="F76" s="2">
        <v>5</v>
      </c>
      <c r="G76" s="2">
        <v>138</v>
      </c>
      <c r="H76" s="14">
        <v>23322</v>
      </c>
      <c r="I76" s="2" t="s">
        <v>14</v>
      </c>
      <c r="J76" s="2">
        <f t="shared" si="1"/>
        <v>4.4047619047619051</v>
      </c>
    </row>
    <row r="77" spans="1:10" x14ac:dyDescent="0.3">
      <c r="A77" s="2" t="s">
        <v>31</v>
      </c>
      <c r="B77" s="2" t="s">
        <v>32</v>
      </c>
      <c r="C77" s="2" t="s">
        <v>17</v>
      </c>
      <c r="D77" s="14">
        <v>191</v>
      </c>
      <c r="E77" s="14">
        <v>191</v>
      </c>
      <c r="F77" s="2">
        <v>10</v>
      </c>
      <c r="G77" s="2">
        <v>211</v>
      </c>
      <c r="H77" s="14">
        <v>38191</v>
      </c>
      <c r="I77" s="2" t="s">
        <v>12</v>
      </c>
      <c r="J77" s="2">
        <f t="shared" si="1"/>
        <v>6.2068965517241379</v>
      </c>
    </row>
    <row r="78" spans="1:10" x14ac:dyDescent="0.3">
      <c r="A78" s="2" t="s">
        <v>18</v>
      </c>
      <c r="B78" s="2" t="s">
        <v>19</v>
      </c>
      <c r="C78" s="2" t="s">
        <v>13</v>
      </c>
      <c r="D78" s="14">
        <v>186</v>
      </c>
      <c r="E78" s="14">
        <v>186</v>
      </c>
      <c r="F78" s="2">
        <v>10</v>
      </c>
      <c r="G78" s="2">
        <v>66</v>
      </c>
      <c r="H78" s="14">
        <v>11616</v>
      </c>
      <c r="I78" s="2" t="s">
        <v>14</v>
      </c>
      <c r="J78" s="2">
        <f t="shared" si="1"/>
        <v>4.3617021276595747</v>
      </c>
    </row>
    <row r="79" spans="1:10" x14ac:dyDescent="0.3">
      <c r="A79" s="2" t="s">
        <v>15</v>
      </c>
      <c r="B79" s="2" t="s">
        <v>16</v>
      </c>
      <c r="C79" s="2" t="s">
        <v>13</v>
      </c>
      <c r="D79" s="14">
        <v>114</v>
      </c>
      <c r="E79" s="14">
        <v>114</v>
      </c>
      <c r="F79" s="2">
        <v>10</v>
      </c>
      <c r="G79" s="2">
        <v>283</v>
      </c>
      <c r="H79" s="14">
        <v>29432</v>
      </c>
      <c r="I79" s="2" t="s">
        <v>12</v>
      </c>
      <c r="J79" s="2">
        <f t="shared" si="1"/>
        <v>4.3902439024390247</v>
      </c>
    </row>
    <row r="80" spans="1:10" x14ac:dyDescent="0.3">
      <c r="A80" s="2" t="s">
        <v>9</v>
      </c>
      <c r="B80" s="2" t="s">
        <v>10</v>
      </c>
      <c r="C80" s="2" t="s">
        <v>17</v>
      </c>
      <c r="D80" s="14">
        <v>20</v>
      </c>
      <c r="E80" s="14">
        <v>35</v>
      </c>
      <c r="F80" s="2">
        <v>10</v>
      </c>
      <c r="G80" s="2">
        <v>257</v>
      </c>
      <c r="H80" s="14">
        <v>6425</v>
      </c>
      <c r="I80" s="2" t="s">
        <v>14</v>
      </c>
      <c r="J80" s="2">
        <f t="shared" si="1"/>
        <v>4.918032786885246</v>
      </c>
    </row>
    <row r="81" spans="1:10" x14ac:dyDescent="0.3">
      <c r="A81" s="2" t="s">
        <v>29</v>
      </c>
      <c r="B81" s="2" t="s">
        <v>19</v>
      </c>
      <c r="C81" s="2" t="s">
        <v>17</v>
      </c>
      <c r="D81" s="14">
        <v>177</v>
      </c>
      <c r="E81" s="14">
        <v>187</v>
      </c>
      <c r="F81" s="2">
        <v>5</v>
      </c>
      <c r="G81" s="2">
        <v>299</v>
      </c>
      <c r="H81" s="14">
        <v>54418</v>
      </c>
      <c r="I81" s="2" t="s">
        <v>12</v>
      </c>
      <c r="J81" s="2">
        <f t="shared" si="1"/>
        <v>4.2391304347826084</v>
      </c>
    </row>
    <row r="82" spans="1:10" x14ac:dyDescent="0.3">
      <c r="A82" s="2" t="s">
        <v>30</v>
      </c>
      <c r="B82" s="2" t="s">
        <v>10</v>
      </c>
      <c r="C82" s="2" t="s">
        <v>13</v>
      </c>
      <c r="D82" s="14">
        <v>151</v>
      </c>
      <c r="E82" s="14">
        <v>156</v>
      </c>
      <c r="F82" s="2">
        <v>0</v>
      </c>
      <c r="G82" s="2">
        <v>52</v>
      </c>
      <c r="H82" s="14">
        <v>8112</v>
      </c>
      <c r="I82" s="2" t="s">
        <v>14</v>
      </c>
      <c r="J82" s="2">
        <f t="shared" si="1"/>
        <v>4.833333333333333</v>
      </c>
    </row>
    <row r="83" spans="1:10" x14ac:dyDescent="0.3">
      <c r="A83" s="2" t="s">
        <v>28</v>
      </c>
      <c r="B83" s="2" t="s">
        <v>10</v>
      </c>
      <c r="C83" s="2" t="s">
        <v>17</v>
      </c>
      <c r="D83" s="14">
        <v>32</v>
      </c>
      <c r="E83" s="14">
        <v>47</v>
      </c>
      <c r="F83" s="2">
        <v>10</v>
      </c>
      <c r="G83" s="2">
        <v>147</v>
      </c>
      <c r="H83" s="14">
        <v>5439</v>
      </c>
      <c r="I83" s="2" t="s">
        <v>12</v>
      </c>
      <c r="J83" s="2">
        <f t="shared" si="1"/>
        <v>4.9152542372881358</v>
      </c>
    </row>
    <row r="84" spans="1:10" x14ac:dyDescent="0.3">
      <c r="A84" s="2" t="s">
        <v>29</v>
      </c>
      <c r="B84" s="2" t="s">
        <v>19</v>
      </c>
      <c r="C84" s="2" t="s">
        <v>11</v>
      </c>
      <c r="D84" s="14">
        <v>55</v>
      </c>
      <c r="E84" s="14">
        <v>60</v>
      </c>
      <c r="F84" s="2">
        <v>5</v>
      </c>
      <c r="G84" s="2">
        <v>208</v>
      </c>
      <c r="H84" s="14">
        <v>11440</v>
      </c>
      <c r="I84" s="2" t="s">
        <v>12</v>
      </c>
      <c r="J84" s="2">
        <f t="shared" si="1"/>
        <v>4.2222222222222223</v>
      </c>
    </row>
    <row r="85" spans="1:10" x14ac:dyDescent="0.3">
      <c r="A85" s="2" t="s">
        <v>26</v>
      </c>
      <c r="B85" s="2" t="s">
        <v>27</v>
      </c>
      <c r="C85" s="2" t="s">
        <v>24</v>
      </c>
      <c r="D85" s="14">
        <v>37</v>
      </c>
      <c r="E85" s="14">
        <v>52</v>
      </c>
      <c r="F85" s="2">
        <v>10</v>
      </c>
      <c r="G85" s="2">
        <v>163</v>
      </c>
      <c r="H85" s="14">
        <v>6846</v>
      </c>
      <c r="I85" s="2" t="s">
        <v>12</v>
      </c>
      <c r="J85" s="2">
        <f t="shared" si="1"/>
        <v>4.615384615384615</v>
      </c>
    </row>
    <row r="86" spans="1:10" x14ac:dyDescent="0.3">
      <c r="A86" s="2" t="s">
        <v>26</v>
      </c>
      <c r="B86" s="2" t="s">
        <v>27</v>
      </c>
      <c r="C86" s="2" t="s">
        <v>17</v>
      </c>
      <c r="D86" s="14">
        <v>170</v>
      </c>
      <c r="E86" s="14">
        <v>175</v>
      </c>
      <c r="F86" s="2">
        <v>5</v>
      </c>
      <c r="G86" s="2">
        <v>294</v>
      </c>
      <c r="H86" s="14">
        <v>49980</v>
      </c>
      <c r="I86" s="2" t="s">
        <v>12</v>
      </c>
      <c r="J86" s="2">
        <f t="shared" si="1"/>
        <v>4.4000000000000004</v>
      </c>
    </row>
    <row r="87" spans="1:10" x14ac:dyDescent="0.3">
      <c r="A87" s="2" t="s">
        <v>15</v>
      </c>
      <c r="B87" s="2" t="s">
        <v>16</v>
      </c>
      <c r="C87" s="2" t="s">
        <v>13</v>
      </c>
      <c r="D87" s="14">
        <v>29</v>
      </c>
      <c r="E87" s="14">
        <v>29</v>
      </c>
      <c r="F87" s="2">
        <v>0</v>
      </c>
      <c r="G87" s="2">
        <v>132</v>
      </c>
      <c r="H87" s="14">
        <v>3828</v>
      </c>
      <c r="I87" s="2" t="s">
        <v>12</v>
      </c>
      <c r="J87" s="2">
        <f t="shared" si="1"/>
        <v>4.25</v>
      </c>
    </row>
    <row r="88" spans="1:10" x14ac:dyDescent="0.3">
      <c r="A88" s="2" t="s">
        <v>28</v>
      </c>
      <c r="B88" s="2" t="s">
        <v>10</v>
      </c>
      <c r="C88" s="2" t="s">
        <v>11</v>
      </c>
      <c r="D88" s="14">
        <v>57</v>
      </c>
      <c r="E88" s="14">
        <v>57</v>
      </c>
      <c r="F88" s="2">
        <v>5</v>
      </c>
      <c r="G88" s="2">
        <v>247</v>
      </c>
      <c r="H88" s="14">
        <v>12844</v>
      </c>
      <c r="I88" s="2" t="s">
        <v>12</v>
      </c>
      <c r="J88" s="2">
        <f t="shared" si="1"/>
        <v>4.8275862068965516</v>
      </c>
    </row>
    <row r="89" spans="1:10" x14ac:dyDescent="0.3">
      <c r="A89" s="2" t="s">
        <v>28</v>
      </c>
      <c r="B89" s="2" t="s">
        <v>10</v>
      </c>
      <c r="C89" s="2" t="s">
        <v>24</v>
      </c>
      <c r="D89" s="14">
        <v>179</v>
      </c>
      <c r="E89" s="14">
        <v>194</v>
      </c>
      <c r="F89" s="2">
        <v>10</v>
      </c>
      <c r="G89" s="2">
        <v>257</v>
      </c>
      <c r="H89" s="14">
        <v>47288</v>
      </c>
      <c r="I89" s="2" t="s">
        <v>12</v>
      </c>
      <c r="J89" s="2">
        <f t="shared" si="1"/>
        <v>4.8245614035087723</v>
      </c>
    </row>
    <row r="90" spans="1:10" x14ac:dyDescent="0.3">
      <c r="A90" s="2" t="s">
        <v>20</v>
      </c>
      <c r="B90" s="2" t="s">
        <v>16</v>
      </c>
      <c r="C90" s="2" t="s">
        <v>13</v>
      </c>
      <c r="D90" s="14">
        <v>63</v>
      </c>
      <c r="E90" s="14">
        <v>73</v>
      </c>
      <c r="F90" s="2">
        <v>5</v>
      </c>
      <c r="G90" s="2">
        <v>67</v>
      </c>
      <c r="H90" s="14">
        <v>4556</v>
      </c>
      <c r="I90" s="2" t="s">
        <v>12</v>
      </c>
      <c r="J90" s="2">
        <f t="shared" si="1"/>
        <v>4.3589743589743586</v>
      </c>
    </row>
    <row r="91" spans="1:10" x14ac:dyDescent="0.3">
      <c r="A91" s="2" t="s">
        <v>20</v>
      </c>
      <c r="B91" s="2" t="s">
        <v>16</v>
      </c>
      <c r="C91" s="2" t="s">
        <v>17</v>
      </c>
      <c r="D91" s="14">
        <v>136</v>
      </c>
      <c r="E91" s="14">
        <v>136</v>
      </c>
      <c r="F91" s="2">
        <v>10</v>
      </c>
      <c r="G91" s="2">
        <v>286</v>
      </c>
      <c r="H91" s="14">
        <v>36036</v>
      </c>
      <c r="I91" s="2" t="s">
        <v>12</v>
      </c>
      <c r="J91" s="2">
        <f t="shared" si="1"/>
        <v>4.3421052631578947</v>
      </c>
    </row>
    <row r="92" spans="1:10" x14ac:dyDescent="0.3">
      <c r="A92" s="2" t="s">
        <v>20</v>
      </c>
      <c r="B92" s="2" t="s">
        <v>16</v>
      </c>
      <c r="C92" s="2" t="s">
        <v>17</v>
      </c>
      <c r="D92" s="14">
        <v>165</v>
      </c>
      <c r="E92" s="14">
        <v>175</v>
      </c>
      <c r="F92" s="2">
        <v>5</v>
      </c>
      <c r="G92" s="2">
        <v>211</v>
      </c>
      <c r="H92" s="14">
        <v>35870</v>
      </c>
      <c r="I92" s="2" t="s">
        <v>12</v>
      </c>
      <c r="J92" s="2">
        <f t="shared" si="1"/>
        <v>4.1891891891891895</v>
      </c>
    </row>
    <row r="93" spans="1:10" x14ac:dyDescent="0.3">
      <c r="A93" s="2" t="s">
        <v>29</v>
      </c>
      <c r="B93" s="2" t="s">
        <v>19</v>
      </c>
      <c r="C93" s="2" t="s">
        <v>25</v>
      </c>
      <c r="D93" s="14">
        <v>50</v>
      </c>
      <c r="E93" s="14">
        <v>60</v>
      </c>
      <c r="F93" s="2">
        <v>10</v>
      </c>
      <c r="G93" s="2">
        <v>270</v>
      </c>
      <c r="H93" s="14">
        <v>13500</v>
      </c>
      <c r="I93" s="2" t="s">
        <v>12</v>
      </c>
      <c r="J93" s="2">
        <f t="shared" si="1"/>
        <v>4.2045454545454541</v>
      </c>
    </row>
    <row r="94" spans="1:10" x14ac:dyDescent="0.3">
      <c r="A94" s="2" t="s">
        <v>31</v>
      </c>
      <c r="B94" s="2" t="s">
        <v>32</v>
      </c>
      <c r="C94" s="2" t="s">
        <v>25</v>
      </c>
      <c r="D94" s="14">
        <v>180</v>
      </c>
      <c r="E94" s="14">
        <v>185</v>
      </c>
      <c r="F94" s="2">
        <v>10</v>
      </c>
      <c r="G94" s="2">
        <v>163</v>
      </c>
      <c r="H94" s="14">
        <v>28525</v>
      </c>
      <c r="I94" s="2" t="s">
        <v>12</v>
      </c>
      <c r="J94" s="2">
        <f t="shared" si="1"/>
        <v>6.0714285714285712</v>
      </c>
    </row>
    <row r="95" spans="1:10" x14ac:dyDescent="0.3">
      <c r="A95" s="2" t="s">
        <v>18</v>
      </c>
      <c r="B95" s="2" t="s">
        <v>19</v>
      </c>
      <c r="C95" s="2" t="s">
        <v>17</v>
      </c>
      <c r="D95" s="14">
        <v>32</v>
      </c>
      <c r="E95" s="14">
        <v>47</v>
      </c>
      <c r="F95" s="2">
        <v>10</v>
      </c>
      <c r="G95" s="2">
        <v>120</v>
      </c>
      <c r="H95" s="14">
        <v>4440</v>
      </c>
      <c r="I95" s="2" t="s">
        <v>12</v>
      </c>
      <c r="J95" s="2">
        <f t="shared" si="1"/>
        <v>4.0697674418604652</v>
      </c>
    </row>
    <row r="96" spans="1:10" x14ac:dyDescent="0.3">
      <c r="A96" s="2" t="s">
        <v>15</v>
      </c>
      <c r="B96" s="2" t="s">
        <v>16</v>
      </c>
      <c r="C96" s="2" t="s">
        <v>13</v>
      </c>
      <c r="D96" s="14">
        <v>97</v>
      </c>
      <c r="E96" s="14">
        <v>112</v>
      </c>
      <c r="F96" s="2">
        <v>0</v>
      </c>
      <c r="G96" s="2">
        <v>187</v>
      </c>
      <c r="H96" s="14">
        <v>20944</v>
      </c>
      <c r="I96" s="2" t="s">
        <v>12</v>
      </c>
      <c r="J96" s="2">
        <f t="shared" si="1"/>
        <v>4.166666666666667</v>
      </c>
    </row>
    <row r="97" spans="1:10" x14ac:dyDescent="0.3">
      <c r="A97" s="2" t="s">
        <v>18</v>
      </c>
      <c r="B97" s="2" t="s">
        <v>19</v>
      </c>
      <c r="C97" s="2" t="s">
        <v>11</v>
      </c>
      <c r="D97" s="14">
        <v>181</v>
      </c>
      <c r="E97" s="14">
        <v>186</v>
      </c>
      <c r="F97" s="2">
        <v>0</v>
      </c>
      <c r="G97" s="2">
        <v>54</v>
      </c>
      <c r="H97" s="14">
        <v>10044</v>
      </c>
      <c r="I97" s="2" t="s">
        <v>12</v>
      </c>
      <c r="J97" s="2">
        <f t="shared" si="1"/>
        <v>3.9285714285714284</v>
      </c>
    </row>
    <row r="98" spans="1:10" x14ac:dyDescent="0.3">
      <c r="A98" s="2" t="s">
        <v>18</v>
      </c>
      <c r="B98" s="2" t="s">
        <v>19</v>
      </c>
      <c r="C98" s="2" t="s">
        <v>21</v>
      </c>
      <c r="D98" s="14">
        <v>184</v>
      </c>
      <c r="E98" s="14">
        <v>194</v>
      </c>
      <c r="F98" s="2">
        <v>10</v>
      </c>
      <c r="G98" s="2">
        <v>86</v>
      </c>
      <c r="H98" s="14">
        <v>15824</v>
      </c>
      <c r="I98" s="2" t="s">
        <v>12</v>
      </c>
      <c r="J98" s="2">
        <f t="shared" si="1"/>
        <v>4.024390243902439</v>
      </c>
    </row>
    <row r="99" spans="1:10" x14ac:dyDescent="0.3">
      <c r="A99" s="2" t="s">
        <v>18</v>
      </c>
      <c r="B99" s="2" t="s">
        <v>19</v>
      </c>
      <c r="C99" s="2" t="s">
        <v>13</v>
      </c>
      <c r="D99" s="14">
        <v>57</v>
      </c>
      <c r="E99" s="14">
        <v>62</v>
      </c>
      <c r="F99" s="2">
        <v>10</v>
      </c>
      <c r="G99" s="2">
        <v>236</v>
      </c>
      <c r="H99" s="14">
        <v>12272</v>
      </c>
      <c r="I99" s="2" t="s">
        <v>12</v>
      </c>
      <c r="J99" s="2">
        <f t="shared" si="1"/>
        <v>3.875</v>
      </c>
    </row>
    <row r="100" spans="1:10" x14ac:dyDescent="0.3">
      <c r="A100" s="2" t="s">
        <v>29</v>
      </c>
      <c r="B100" s="2" t="s">
        <v>19</v>
      </c>
      <c r="C100" s="2" t="s">
        <v>24</v>
      </c>
      <c r="D100" s="14">
        <v>50</v>
      </c>
      <c r="E100" s="14">
        <v>50</v>
      </c>
      <c r="F100" s="2">
        <v>5</v>
      </c>
      <c r="G100" s="2">
        <v>163</v>
      </c>
      <c r="H100" s="14">
        <v>7335</v>
      </c>
      <c r="I100" s="2" t="s">
        <v>14</v>
      </c>
      <c r="J100" s="2">
        <f t="shared" si="1"/>
        <v>3.7179487179487181</v>
      </c>
    </row>
    <row r="101" spans="1:10" x14ac:dyDescent="0.3">
      <c r="A101" s="2" t="s">
        <v>28</v>
      </c>
      <c r="B101" s="2" t="s">
        <v>10</v>
      </c>
      <c r="C101" s="2" t="s">
        <v>17</v>
      </c>
      <c r="D101" s="14">
        <v>115</v>
      </c>
      <c r="E101" s="14">
        <v>120</v>
      </c>
      <c r="F101" s="2">
        <v>0</v>
      </c>
      <c r="G101" s="2">
        <v>122</v>
      </c>
      <c r="H101" s="14">
        <v>14640</v>
      </c>
      <c r="I101" s="2" t="s">
        <v>12</v>
      </c>
      <c r="J101" s="2">
        <f t="shared" si="1"/>
        <v>4.7321428571428568</v>
      </c>
    </row>
    <row r="102" spans="1:10" x14ac:dyDescent="0.3">
      <c r="A102" s="2" t="s">
        <v>15</v>
      </c>
      <c r="B102" s="2" t="s">
        <v>16</v>
      </c>
      <c r="C102" s="2" t="s">
        <v>24</v>
      </c>
      <c r="D102" s="14">
        <v>120</v>
      </c>
      <c r="E102" s="14">
        <v>135</v>
      </c>
      <c r="F102" s="2">
        <v>0</v>
      </c>
      <c r="G102" s="2">
        <v>138</v>
      </c>
      <c r="H102" s="14">
        <v>18630</v>
      </c>
      <c r="I102" s="2" t="s">
        <v>14</v>
      </c>
      <c r="J102" s="2">
        <f t="shared" si="1"/>
        <v>4.2857142857142856</v>
      </c>
    </row>
    <row r="103" spans="1:10" x14ac:dyDescent="0.3">
      <c r="A103" s="2" t="s">
        <v>18</v>
      </c>
      <c r="B103" s="2" t="s">
        <v>19</v>
      </c>
      <c r="C103" s="2" t="s">
        <v>11</v>
      </c>
      <c r="D103" s="14">
        <v>125</v>
      </c>
      <c r="E103" s="14">
        <v>125</v>
      </c>
      <c r="F103" s="2">
        <v>0</v>
      </c>
      <c r="G103" s="2">
        <v>146</v>
      </c>
      <c r="H103" s="14">
        <v>18250</v>
      </c>
      <c r="I103" s="2" t="s">
        <v>14</v>
      </c>
      <c r="J103" s="2">
        <f t="shared" si="1"/>
        <v>3.6842105263157894</v>
      </c>
    </row>
    <row r="104" spans="1:10" x14ac:dyDescent="0.3">
      <c r="A104" s="2" t="s">
        <v>30</v>
      </c>
      <c r="B104" s="2" t="s">
        <v>10</v>
      </c>
      <c r="C104" s="2" t="s">
        <v>24</v>
      </c>
      <c r="D104" s="14">
        <v>148</v>
      </c>
      <c r="E104" s="14">
        <v>153</v>
      </c>
      <c r="F104" s="2">
        <v>0</v>
      </c>
      <c r="G104" s="2">
        <v>171</v>
      </c>
      <c r="H104" s="14">
        <v>26163</v>
      </c>
      <c r="I104" s="2" t="s">
        <v>14</v>
      </c>
      <c r="J104" s="2">
        <f t="shared" si="1"/>
        <v>4.8181818181818183</v>
      </c>
    </row>
    <row r="105" spans="1:10" x14ac:dyDescent="0.3">
      <c r="A105" s="2" t="s">
        <v>15</v>
      </c>
      <c r="B105" s="2" t="s">
        <v>16</v>
      </c>
      <c r="C105" s="2" t="s">
        <v>17</v>
      </c>
      <c r="D105" s="14">
        <v>73</v>
      </c>
      <c r="E105" s="14">
        <v>78</v>
      </c>
      <c r="F105" s="2">
        <v>5</v>
      </c>
      <c r="G105" s="2">
        <v>82</v>
      </c>
      <c r="H105" s="14">
        <v>5986</v>
      </c>
      <c r="I105" s="2" t="s">
        <v>12</v>
      </c>
      <c r="J105" s="2">
        <f t="shared" si="1"/>
        <v>4.4117647058823533</v>
      </c>
    </row>
    <row r="106" spans="1:10" x14ac:dyDescent="0.3">
      <c r="A106" s="2" t="s">
        <v>26</v>
      </c>
      <c r="B106" s="2" t="s">
        <v>27</v>
      </c>
      <c r="C106" s="2" t="s">
        <v>11</v>
      </c>
      <c r="D106" s="14">
        <v>31</v>
      </c>
      <c r="E106" s="14">
        <v>46</v>
      </c>
      <c r="F106" s="2">
        <v>10</v>
      </c>
      <c r="G106" s="2">
        <v>109</v>
      </c>
      <c r="H106" s="14">
        <v>3924</v>
      </c>
      <c r="I106" s="2" t="s">
        <v>12</v>
      </c>
      <c r="J106" s="2">
        <f t="shared" si="1"/>
        <v>4.375</v>
      </c>
    </row>
    <row r="107" spans="1:10" x14ac:dyDescent="0.3">
      <c r="A107" s="2" t="s">
        <v>22</v>
      </c>
      <c r="B107" s="2" t="s">
        <v>23</v>
      </c>
      <c r="C107" s="2" t="s">
        <v>21</v>
      </c>
      <c r="D107" s="14">
        <v>199</v>
      </c>
      <c r="E107" s="14">
        <v>204</v>
      </c>
      <c r="F107" s="2">
        <v>0</v>
      </c>
      <c r="G107" s="2">
        <v>269</v>
      </c>
      <c r="H107" s="14">
        <v>54876</v>
      </c>
      <c r="I107" s="2" t="s">
        <v>12</v>
      </c>
      <c r="J107" s="2">
        <f t="shared" si="1"/>
        <v>5.9523809523809526</v>
      </c>
    </row>
    <row r="108" spans="1:10" x14ac:dyDescent="0.3">
      <c r="A108" s="2" t="s">
        <v>18</v>
      </c>
      <c r="B108" s="2" t="s">
        <v>19</v>
      </c>
      <c r="C108" s="2" t="s">
        <v>17</v>
      </c>
      <c r="D108" s="14">
        <v>184</v>
      </c>
      <c r="E108" s="14">
        <v>199</v>
      </c>
      <c r="F108" s="2">
        <v>5</v>
      </c>
      <c r="G108" s="2">
        <v>69</v>
      </c>
      <c r="H108" s="14">
        <v>13386</v>
      </c>
      <c r="I108" s="2" t="s">
        <v>12</v>
      </c>
      <c r="J108" s="2">
        <f t="shared" si="1"/>
        <v>3.7837837837837838</v>
      </c>
    </row>
    <row r="109" spans="1:10" x14ac:dyDescent="0.3">
      <c r="A109" s="2" t="s">
        <v>31</v>
      </c>
      <c r="B109" s="2" t="s">
        <v>32</v>
      </c>
      <c r="C109" s="2" t="s">
        <v>17</v>
      </c>
      <c r="D109" s="14">
        <v>151</v>
      </c>
      <c r="E109" s="14">
        <v>151</v>
      </c>
      <c r="F109" s="2">
        <v>0</v>
      </c>
      <c r="G109" s="2">
        <v>57</v>
      </c>
      <c r="H109" s="14">
        <v>8607</v>
      </c>
      <c r="I109" s="2" t="s">
        <v>12</v>
      </c>
      <c r="J109" s="2">
        <f t="shared" si="1"/>
        <v>5.9259259259259256</v>
      </c>
    </row>
    <row r="110" spans="1:10" x14ac:dyDescent="0.3">
      <c r="A110" s="2" t="s">
        <v>15</v>
      </c>
      <c r="B110" s="2" t="s">
        <v>16</v>
      </c>
      <c r="C110" s="2" t="s">
        <v>17</v>
      </c>
      <c r="D110" s="14">
        <v>23</v>
      </c>
      <c r="E110" s="14">
        <v>28</v>
      </c>
      <c r="F110" s="2">
        <v>5</v>
      </c>
      <c r="G110" s="2">
        <v>276</v>
      </c>
      <c r="H110" s="14">
        <v>6348</v>
      </c>
      <c r="I110" s="2" t="s">
        <v>14</v>
      </c>
      <c r="J110" s="2">
        <f t="shared" si="1"/>
        <v>4.3939393939393936</v>
      </c>
    </row>
    <row r="111" spans="1:10" x14ac:dyDescent="0.3">
      <c r="A111" s="2" t="s">
        <v>29</v>
      </c>
      <c r="B111" s="2" t="s">
        <v>19</v>
      </c>
      <c r="C111" s="2" t="s">
        <v>21</v>
      </c>
      <c r="D111" s="14">
        <v>83</v>
      </c>
      <c r="E111" s="14">
        <v>93</v>
      </c>
      <c r="F111" s="2">
        <v>10</v>
      </c>
      <c r="G111" s="2">
        <v>148</v>
      </c>
      <c r="H111" s="14">
        <v>12284</v>
      </c>
      <c r="I111" s="2" t="s">
        <v>12</v>
      </c>
      <c r="J111" s="2">
        <f t="shared" si="1"/>
        <v>3.75</v>
      </c>
    </row>
    <row r="112" spans="1:10" x14ac:dyDescent="0.3">
      <c r="A112" s="2" t="s">
        <v>18</v>
      </c>
      <c r="B112" s="2" t="s">
        <v>19</v>
      </c>
      <c r="C112" s="2" t="s">
        <v>24</v>
      </c>
      <c r="D112" s="14">
        <v>138</v>
      </c>
      <c r="E112" s="14">
        <v>153</v>
      </c>
      <c r="F112" s="2">
        <v>10</v>
      </c>
      <c r="G112" s="2">
        <v>182</v>
      </c>
      <c r="H112" s="14">
        <v>26026</v>
      </c>
      <c r="I112" s="2" t="s">
        <v>12</v>
      </c>
      <c r="J112" s="2">
        <f t="shared" si="1"/>
        <v>3.5714285714285716</v>
      </c>
    </row>
    <row r="113" spans="1:10" x14ac:dyDescent="0.3">
      <c r="A113" s="2" t="s">
        <v>28</v>
      </c>
      <c r="B113" s="2" t="s">
        <v>10</v>
      </c>
      <c r="C113" s="2" t="s">
        <v>24</v>
      </c>
      <c r="D113" s="14">
        <v>116</v>
      </c>
      <c r="E113" s="14">
        <v>131</v>
      </c>
      <c r="F113" s="2">
        <v>10</v>
      </c>
      <c r="G113" s="2">
        <v>283</v>
      </c>
      <c r="H113" s="14">
        <v>34243</v>
      </c>
      <c r="I113" s="2" t="s">
        <v>12</v>
      </c>
      <c r="J113" s="2">
        <f t="shared" si="1"/>
        <v>4.9074074074074074</v>
      </c>
    </row>
    <row r="114" spans="1:10" x14ac:dyDescent="0.3">
      <c r="A114" s="2" t="s">
        <v>9</v>
      </c>
      <c r="B114" s="2" t="s">
        <v>10</v>
      </c>
      <c r="C114" s="2" t="s">
        <v>11</v>
      </c>
      <c r="D114" s="14">
        <v>98</v>
      </c>
      <c r="E114" s="14">
        <v>113</v>
      </c>
      <c r="F114" s="2">
        <v>10</v>
      </c>
      <c r="G114" s="2">
        <v>233</v>
      </c>
      <c r="H114" s="14">
        <v>23999</v>
      </c>
      <c r="I114" s="2" t="s">
        <v>12</v>
      </c>
      <c r="J114" s="2">
        <f t="shared" si="1"/>
        <v>4.8113207547169807</v>
      </c>
    </row>
    <row r="115" spans="1:10" x14ac:dyDescent="0.3">
      <c r="A115" s="2" t="s">
        <v>28</v>
      </c>
      <c r="B115" s="2" t="s">
        <v>10</v>
      </c>
      <c r="C115" s="2" t="s">
        <v>21</v>
      </c>
      <c r="D115" s="14">
        <v>176</v>
      </c>
      <c r="E115" s="14">
        <v>186</v>
      </c>
      <c r="F115" s="2">
        <v>0</v>
      </c>
      <c r="G115" s="2">
        <v>150</v>
      </c>
      <c r="H115" s="14">
        <v>27900</v>
      </c>
      <c r="I115" s="2" t="s">
        <v>12</v>
      </c>
      <c r="J115" s="2">
        <f t="shared" si="1"/>
        <v>4.7115384615384617</v>
      </c>
    </row>
    <row r="116" spans="1:10" x14ac:dyDescent="0.3">
      <c r="A116" s="2" t="s">
        <v>31</v>
      </c>
      <c r="B116" s="2" t="s">
        <v>32</v>
      </c>
      <c r="C116" s="2" t="s">
        <v>17</v>
      </c>
      <c r="D116" s="14">
        <v>65</v>
      </c>
      <c r="E116" s="14">
        <v>75</v>
      </c>
      <c r="F116" s="2">
        <v>5</v>
      </c>
      <c r="G116" s="2">
        <v>168</v>
      </c>
      <c r="H116" s="14">
        <v>11760</v>
      </c>
      <c r="I116" s="2" t="s">
        <v>12</v>
      </c>
      <c r="J116" s="2">
        <f t="shared" si="1"/>
        <v>6.1538461538461542</v>
      </c>
    </row>
    <row r="117" spans="1:10" x14ac:dyDescent="0.3">
      <c r="A117" s="2" t="s">
        <v>18</v>
      </c>
      <c r="B117" s="2" t="s">
        <v>19</v>
      </c>
      <c r="C117" s="2" t="s">
        <v>17</v>
      </c>
      <c r="D117" s="14">
        <v>48</v>
      </c>
      <c r="E117" s="14">
        <v>53</v>
      </c>
      <c r="F117" s="2">
        <v>0</v>
      </c>
      <c r="G117" s="2">
        <v>192</v>
      </c>
      <c r="H117" s="14">
        <v>10176</v>
      </c>
      <c r="I117" s="2" t="s">
        <v>12</v>
      </c>
      <c r="J117" s="2">
        <f t="shared" si="1"/>
        <v>3.3823529411764706</v>
      </c>
    </row>
    <row r="118" spans="1:10" x14ac:dyDescent="0.3">
      <c r="A118" s="2" t="s">
        <v>29</v>
      </c>
      <c r="B118" s="2" t="s">
        <v>19</v>
      </c>
      <c r="C118" s="2" t="s">
        <v>13</v>
      </c>
      <c r="D118" s="14">
        <v>101</v>
      </c>
      <c r="E118" s="14">
        <v>101</v>
      </c>
      <c r="F118" s="2">
        <v>5</v>
      </c>
      <c r="G118" s="2">
        <v>294</v>
      </c>
      <c r="H118" s="14">
        <v>28224</v>
      </c>
      <c r="I118" s="2" t="s">
        <v>14</v>
      </c>
      <c r="J118" s="2">
        <f t="shared" si="1"/>
        <v>3.4848484848484849</v>
      </c>
    </row>
    <row r="119" spans="1:10" x14ac:dyDescent="0.3">
      <c r="A119" s="2" t="s">
        <v>30</v>
      </c>
      <c r="B119" s="2" t="s">
        <v>10</v>
      </c>
      <c r="C119" s="2" t="s">
        <v>24</v>
      </c>
      <c r="D119" s="14">
        <v>75</v>
      </c>
      <c r="E119" s="14">
        <v>90</v>
      </c>
      <c r="F119" s="2">
        <v>10</v>
      </c>
      <c r="G119" s="2">
        <v>55</v>
      </c>
      <c r="H119" s="14">
        <v>4400</v>
      </c>
      <c r="I119" s="2" t="s">
        <v>12</v>
      </c>
      <c r="J119" s="2">
        <f t="shared" si="1"/>
        <v>4.8039215686274508</v>
      </c>
    </row>
    <row r="120" spans="1:10" x14ac:dyDescent="0.3">
      <c r="A120" s="2" t="s">
        <v>9</v>
      </c>
      <c r="B120" s="2" t="s">
        <v>10</v>
      </c>
      <c r="C120" s="2" t="s">
        <v>24</v>
      </c>
      <c r="D120" s="14">
        <v>132</v>
      </c>
      <c r="E120" s="14">
        <v>132</v>
      </c>
      <c r="F120" s="2">
        <v>0</v>
      </c>
      <c r="G120" s="2">
        <v>255</v>
      </c>
      <c r="H120" s="14">
        <v>33660</v>
      </c>
      <c r="I120" s="2" t="s">
        <v>12</v>
      </c>
      <c r="J120" s="2">
        <f t="shared" si="1"/>
        <v>4.7</v>
      </c>
    </row>
    <row r="121" spans="1:10" x14ac:dyDescent="0.3">
      <c r="A121" s="2" t="s">
        <v>30</v>
      </c>
      <c r="B121" s="2" t="s">
        <v>10</v>
      </c>
      <c r="C121" s="2" t="s">
        <v>17</v>
      </c>
      <c r="D121" s="14">
        <v>140</v>
      </c>
      <c r="E121" s="14">
        <v>155</v>
      </c>
      <c r="F121" s="2">
        <v>10</v>
      </c>
      <c r="G121" s="2">
        <v>85</v>
      </c>
      <c r="H121" s="14">
        <v>12325</v>
      </c>
      <c r="I121" s="2" t="s">
        <v>12</v>
      </c>
      <c r="J121" s="2">
        <f t="shared" si="1"/>
        <v>4.795918367346939</v>
      </c>
    </row>
    <row r="122" spans="1:10" x14ac:dyDescent="0.3">
      <c r="A122" s="2" t="s">
        <v>31</v>
      </c>
      <c r="B122" s="2" t="s">
        <v>32</v>
      </c>
      <c r="C122" s="2" t="s">
        <v>11</v>
      </c>
      <c r="D122" s="14">
        <v>87</v>
      </c>
      <c r="E122" s="14">
        <v>87</v>
      </c>
      <c r="F122" s="2">
        <v>10</v>
      </c>
      <c r="G122" s="2">
        <v>199</v>
      </c>
      <c r="H122" s="14">
        <v>15323</v>
      </c>
      <c r="I122" s="2" t="s">
        <v>12</v>
      </c>
      <c r="J122" s="2">
        <f t="shared" si="1"/>
        <v>6.2</v>
      </c>
    </row>
    <row r="123" spans="1:10" x14ac:dyDescent="0.3">
      <c r="A123" s="2" t="s">
        <v>30</v>
      </c>
      <c r="B123" s="2" t="s">
        <v>10</v>
      </c>
      <c r="C123" s="2" t="s">
        <v>17</v>
      </c>
      <c r="D123" s="14">
        <v>187</v>
      </c>
      <c r="E123" s="14">
        <v>187</v>
      </c>
      <c r="F123" s="2">
        <v>0</v>
      </c>
      <c r="G123" s="2">
        <v>131</v>
      </c>
      <c r="H123" s="14">
        <v>24497</v>
      </c>
      <c r="I123" s="2" t="s">
        <v>12</v>
      </c>
      <c r="J123" s="2">
        <f t="shared" si="1"/>
        <v>4.6875</v>
      </c>
    </row>
    <row r="124" spans="1:10" x14ac:dyDescent="0.3">
      <c r="A124" s="2" t="s">
        <v>22</v>
      </c>
      <c r="B124" s="2" t="s">
        <v>23</v>
      </c>
      <c r="C124" s="2" t="s">
        <v>24</v>
      </c>
      <c r="D124" s="14">
        <v>156</v>
      </c>
      <c r="E124" s="14">
        <v>166</v>
      </c>
      <c r="F124" s="2">
        <v>10</v>
      </c>
      <c r="G124" s="2">
        <v>144</v>
      </c>
      <c r="H124" s="14">
        <v>22464</v>
      </c>
      <c r="I124" s="2" t="s">
        <v>12</v>
      </c>
      <c r="J124" s="2">
        <f t="shared" si="1"/>
        <v>6.25</v>
      </c>
    </row>
    <row r="125" spans="1:10" x14ac:dyDescent="0.3">
      <c r="A125" s="2" t="s">
        <v>26</v>
      </c>
      <c r="B125" s="2" t="s">
        <v>27</v>
      </c>
      <c r="C125" s="2" t="s">
        <v>24</v>
      </c>
      <c r="D125" s="14">
        <v>174</v>
      </c>
      <c r="E125" s="14">
        <v>189</v>
      </c>
      <c r="F125" s="2">
        <v>5</v>
      </c>
      <c r="G125" s="2">
        <v>162</v>
      </c>
      <c r="H125" s="14">
        <v>29808</v>
      </c>
      <c r="I125" s="2" t="s">
        <v>12</v>
      </c>
      <c r="J125" s="2">
        <f t="shared" si="1"/>
        <v>4.1304347826086953</v>
      </c>
    </row>
    <row r="126" spans="1:10" x14ac:dyDescent="0.3">
      <c r="A126" s="2" t="s">
        <v>22</v>
      </c>
      <c r="B126" s="2" t="s">
        <v>23</v>
      </c>
      <c r="C126" s="2" t="s">
        <v>24</v>
      </c>
      <c r="D126" s="14">
        <v>135</v>
      </c>
      <c r="E126" s="14">
        <v>145</v>
      </c>
      <c r="F126" s="2">
        <v>10</v>
      </c>
      <c r="G126" s="2">
        <v>71</v>
      </c>
      <c r="H126" s="14">
        <v>9585</v>
      </c>
      <c r="I126" s="2" t="s">
        <v>12</v>
      </c>
      <c r="J126" s="2">
        <f t="shared" si="1"/>
        <v>6.0526315789473681</v>
      </c>
    </row>
    <row r="127" spans="1:10" x14ac:dyDescent="0.3">
      <c r="A127" s="2" t="s">
        <v>31</v>
      </c>
      <c r="B127" s="2" t="s">
        <v>32</v>
      </c>
      <c r="C127" s="2" t="s">
        <v>17</v>
      </c>
      <c r="D127" s="14">
        <v>77</v>
      </c>
      <c r="E127" s="14">
        <v>92</v>
      </c>
      <c r="F127" s="2">
        <v>10</v>
      </c>
      <c r="G127" s="2">
        <v>50</v>
      </c>
      <c r="H127" s="14">
        <v>4100</v>
      </c>
      <c r="I127" s="2" t="s">
        <v>12</v>
      </c>
      <c r="J127" s="2">
        <f t="shared" si="1"/>
        <v>6.041666666666667</v>
      </c>
    </row>
    <row r="128" spans="1:10" x14ac:dyDescent="0.3">
      <c r="A128" s="2" t="s">
        <v>29</v>
      </c>
      <c r="B128" s="2" t="s">
        <v>19</v>
      </c>
      <c r="C128" s="2" t="s">
        <v>25</v>
      </c>
      <c r="D128" s="14">
        <v>80</v>
      </c>
      <c r="E128" s="14">
        <v>90</v>
      </c>
      <c r="F128" s="2">
        <v>5</v>
      </c>
      <c r="G128" s="2">
        <v>249</v>
      </c>
      <c r="H128" s="14">
        <v>21165</v>
      </c>
      <c r="I128" s="2" t="s">
        <v>12</v>
      </c>
      <c r="J128" s="2">
        <f t="shared" si="1"/>
        <v>3.4375</v>
      </c>
    </row>
    <row r="129" spans="1:10" x14ac:dyDescent="0.3">
      <c r="A129" s="2" t="s">
        <v>31</v>
      </c>
      <c r="B129" s="2" t="s">
        <v>32</v>
      </c>
      <c r="C129" s="2" t="s">
        <v>17</v>
      </c>
      <c r="D129" s="14">
        <v>84</v>
      </c>
      <c r="E129" s="14">
        <v>84</v>
      </c>
      <c r="F129" s="2">
        <v>10</v>
      </c>
      <c r="G129" s="2">
        <v>272</v>
      </c>
      <c r="H129" s="14">
        <v>20128</v>
      </c>
      <c r="I129" s="2" t="s">
        <v>12</v>
      </c>
      <c r="J129" s="2">
        <f t="shared" si="1"/>
        <v>5.8695652173913047</v>
      </c>
    </row>
    <row r="130" spans="1:10" x14ac:dyDescent="0.3">
      <c r="A130" s="2" t="s">
        <v>26</v>
      </c>
      <c r="B130" s="2" t="s">
        <v>27</v>
      </c>
      <c r="C130" s="2" t="s">
        <v>25</v>
      </c>
      <c r="D130" s="14">
        <v>94</v>
      </c>
      <c r="E130" s="14">
        <v>94</v>
      </c>
      <c r="F130" s="2">
        <v>5</v>
      </c>
      <c r="G130" s="2">
        <v>219</v>
      </c>
      <c r="H130" s="14">
        <v>19491</v>
      </c>
      <c r="I130" s="2" t="s">
        <v>14</v>
      </c>
      <c r="J130" s="2">
        <f t="shared" si="1"/>
        <v>4.0909090909090908</v>
      </c>
    </row>
    <row r="131" spans="1:10" x14ac:dyDescent="0.3">
      <c r="A131" s="2" t="s">
        <v>26</v>
      </c>
      <c r="B131" s="2" t="s">
        <v>27</v>
      </c>
      <c r="C131" s="2" t="s">
        <v>24</v>
      </c>
      <c r="D131" s="14">
        <v>88</v>
      </c>
      <c r="E131" s="14">
        <v>103</v>
      </c>
      <c r="F131" s="2">
        <v>0</v>
      </c>
      <c r="G131" s="2">
        <v>237</v>
      </c>
      <c r="H131" s="14">
        <v>24411</v>
      </c>
      <c r="I131" s="2" t="s">
        <v>14</v>
      </c>
      <c r="J131" s="2">
        <f t="shared" ref="J131:J194" si="2">AVERAGEIF(B131:B430, B131, F131:F430)</f>
        <v>4.0476190476190474</v>
      </c>
    </row>
    <row r="132" spans="1:10" x14ac:dyDescent="0.3">
      <c r="A132" s="2" t="s">
        <v>22</v>
      </c>
      <c r="B132" s="2" t="s">
        <v>23</v>
      </c>
      <c r="C132" s="2" t="s">
        <v>13</v>
      </c>
      <c r="D132" s="14">
        <v>169</v>
      </c>
      <c r="E132" s="14">
        <v>184</v>
      </c>
      <c r="F132" s="2">
        <v>10</v>
      </c>
      <c r="G132" s="2">
        <v>267</v>
      </c>
      <c r="H132" s="14">
        <v>46458</v>
      </c>
      <c r="I132" s="2" t="s">
        <v>12</v>
      </c>
      <c r="J132" s="2">
        <f t="shared" si="2"/>
        <v>5.833333333333333</v>
      </c>
    </row>
    <row r="133" spans="1:10" x14ac:dyDescent="0.3">
      <c r="A133" s="2" t="s">
        <v>28</v>
      </c>
      <c r="B133" s="2" t="s">
        <v>10</v>
      </c>
      <c r="C133" s="2" t="s">
        <v>21</v>
      </c>
      <c r="D133" s="14">
        <v>101</v>
      </c>
      <c r="E133" s="14">
        <v>101</v>
      </c>
      <c r="F133" s="2">
        <v>0</v>
      </c>
      <c r="G133" s="2">
        <v>107</v>
      </c>
      <c r="H133" s="14">
        <v>10807</v>
      </c>
      <c r="I133" s="2" t="s">
        <v>12</v>
      </c>
      <c r="J133" s="2">
        <f t="shared" si="2"/>
        <v>4.7872340425531918</v>
      </c>
    </row>
    <row r="134" spans="1:10" x14ac:dyDescent="0.3">
      <c r="A134" s="2" t="s">
        <v>20</v>
      </c>
      <c r="B134" s="2" t="s">
        <v>16</v>
      </c>
      <c r="C134" s="2" t="s">
        <v>17</v>
      </c>
      <c r="D134" s="14">
        <v>141</v>
      </c>
      <c r="E134" s="14">
        <v>141</v>
      </c>
      <c r="F134" s="2">
        <v>0</v>
      </c>
      <c r="G134" s="2">
        <v>150</v>
      </c>
      <c r="H134" s="14">
        <v>21150</v>
      </c>
      <c r="I134" s="2" t="s">
        <v>14</v>
      </c>
      <c r="J134" s="2">
        <f t="shared" si="2"/>
        <v>4.375</v>
      </c>
    </row>
    <row r="135" spans="1:10" x14ac:dyDescent="0.3">
      <c r="A135" s="2" t="s">
        <v>20</v>
      </c>
      <c r="B135" s="2" t="s">
        <v>16</v>
      </c>
      <c r="C135" s="2" t="s">
        <v>17</v>
      </c>
      <c r="D135" s="14">
        <v>78</v>
      </c>
      <c r="E135" s="14">
        <v>93</v>
      </c>
      <c r="F135" s="2">
        <v>0</v>
      </c>
      <c r="G135" s="2">
        <v>255</v>
      </c>
      <c r="H135" s="14">
        <v>23715</v>
      </c>
      <c r="I135" s="2" t="s">
        <v>12</v>
      </c>
      <c r="J135" s="2">
        <f t="shared" si="2"/>
        <v>4.5161290322580649</v>
      </c>
    </row>
    <row r="136" spans="1:10" x14ac:dyDescent="0.3">
      <c r="A136" s="2" t="s">
        <v>9</v>
      </c>
      <c r="B136" s="2" t="s">
        <v>10</v>
      </c>
      <c r="C136" s="2" t="s">
        <v>11</v>
      </c>
      <c r="D136" s="14">
        <v>181</v>
      </c>
      <c r="E136" s="14">
        <v>186</v>
      </c>
      <c r="F136" s="2">
        <v>5</v>
      </c>
      <c r="G136" s="2">
        <v>88</v>
      </c>
      <c r="H136" s="14">
        <v>15928</v>
      </c>
      <c r="I136" s="2" t="s">
        <v>12</v>
      </c>
      <c r="J136" s="2">
        <f t="shared" si="2"/>
        <v>4.8913043478260869</v>
      </c>
    </row>
    <row r="137" spans="1:10" x14ac:dyDescent="0.3">
      <c r="A137" s="2" t="s">
        <v>30</v>
      </c>
      <c r="B137" s="2" t="s">
        <v>10</v>
      </c>
      <c r="C137" s="2" t="s">
        <v>11</v>
      </c>
      <c r="D137" s="14">
        <v>134</v>
      </c>
      <c r="E137" s="14">
        <v>144</v>
      </c>
      <c r="F137" s="2">
        <v>0</v>
      </c>
      <c r="G137" s="2">
        <v>206</v>
      </c>
      <c r="H137" s="14">
        <v>29664</v>
      </c>
      <c r="I137" s="2" t="s">
        <v>12</v>
      </c>
      <c r="J137" s="2">
        <f t="shared" si="2"/>
        <v>4.8888888888888893</v>
      </c>
    </row>
    <row r="138" spans="1:10" x14ac:dyDescent="0.3">
      <c r="A138" s="2" t="s">
        <v>18</v>
      </c>
      <c r="B138" s="2" t="s">
        <v>19</v>
      </c>
      <c r="C138" s="2" t="s">
        <v>25</v>
      </c>
      <c r="D138" s="14">
        <v>147</v>
      </c>
      <c r="E138" s="14">
        <v>152</v>
      </c>
      <c r="F138" s="2">
        <v>10</v>
      </c>
      <c r="G138" s="2">
        <v>122</v>
      </c>
      <c r="H138" s="14">
        <v>17324</v>
      </c>
      <c r="I138" s="2" t="s">
        <v>14</v>
      </c>
      <c r="J138" s="2">
        <f t="shared" si="2"/>
        <v>3.3870967741935485</v>
      </c>
    </row>
    <row r="139" spans="1:10" x14ac:dyDescent="0.3">
      <c r="A139" s="2" t="s">
        <v>31</v>
      </c>
      <c r="B139" s="2" t="s">
        <v>32</v>
      </c>
      <c r="C139" s="2" t="s">
        <v>13</v>
      </c>
      <c r="D139" s="14">
        <v>27</v>
      </c>
      <c r="E139" s="14">
        <v>42</v>
      </c>
      <c r="F139" s="2">
        <v>10</v>
      </c>
      <c r="G139" s="2">
        <v>296</v>
      </c>
      <c r="H139" s="14">
        <v>9472</v>
      </c>
      <c r="I139" s="2" t="s">
        <v>12</v>
      </c>
      <c r="J139" s="2">
        <f t="shared" si="2"/>
        <v>5.6818181818181817</v>
      </c>
    </row>
    <row r="140" spans="1:10" x14ac:dyDescent="0.3">
      <c r="A140" s="2" t="s">
        <v>31</v>
      </c>
      <c r="B140" s="2" t="s">
        <v>32</v>
      </c>
      <c r="C140" s="2" t="s">
        <v>21</v>
      </c>
      <c r="D140" s="14">
        <v>97</v>
      </c>
      <c r="E140" s="14">
        <v>107</v>
      </c>
      <c r="F140" s="2">
        <v>0</v>
      </c>
      <c r="G140" s="2">
        <v>55</v>
      </c>
      <c r="H140" s="14">
        <v>5885</v>
      </c>
      <c r="I140" s="2" t="s">
        <v>14</v>
      </c>
      <c r="J140" s="2">
        <f t="shared" si="2"/>
        <v>5.4761904761904763</v>
      </c>
    </row>
    <row r="141" spans="1:10" x14ac:dyDescent="0.3">
      <c r="A141" s="2" t="s">
        <v>29</v>
      </c>
      <c r="B141" s="2" t="s">
        <v>19</v>
      </c>
      <c r="C141" s="2" t="s">
        <v>24</v>
      </c>
      <c r="D141" s="14">
        <v>183</v>
      </c>
      <c r="E141" s="14">
        <v>183</v>
      </c>
      <c r="F141" s="2">
        <v>0</v>
      </c>
      <c r="G141" s="2">
        <v>132</v>
      </c>
      <c r="H141" s="14">
        <v>24156</v>
      </c>
      <c r="I141" s="2" t="s">
        <v>12</v>
      </c>
      <c r="J141" s="2">
        <f t="shared" si="2"/>
        <v>3.1666666666666665</v>
      </c>
    </row>
    <row r="142" spans="1:10" x14ac:dyDescent="0.3">
      <c r="A142" s="2" t="s">
        <v>29</v>
      </c>
      <c r="B142" s="2" t="s">
        <v>19</v>
      </c>
      <c r="C142" s="2" t="s">
        <v>25</v>
      </c>
      <c r="D142" s="14">
        <v>187</v>
      </c>
      <c r="E142" s="14">
        <v>202</v>
      </c>
      <c r="F142" s="2">
        <v>0</v>
      </c>
      <c r="G142" s="2">
        <v>124</v>
      </c>
      <c r="H142" s="14">
        <v>25048</v>
      </c>
      <c r="I142" s="2" t="s">
        <v>14</v>
      </c>
      <c r="J142" s="2">
        <f t="shared" si="2"/>
        <v>3.2758620689655173</v>
      </c>
    </row>
    <row r="143" spans="1:10" x14ac:dyDescent="0.3">
      <c r="A143" s="2" t="s">
        <v>30</v>
      </c>
      <c r="B143" s="2" t="s">
        <v>10</v>
      </c>
      <c r="C143" s="2" t="s">
        <v>11</v>
      </c>
      <c r="D143" s="14">
        <v>64</v>
      </c>
      <c r="E143" s="14">
        <v>64</v>
      </c>
      <c r="F143" s="2">
        <v>10</v>
      </c>
      <c r="G143" s="2">
        <v>87</v>
      </c>
      <c r="H143" s="14">
        <v>4698</v>
      </c>
      <c r="I143" s="2" t="s">
        <v>12</v>
      </c>
      <c r="J143" s="2">
        <f t="shared" si="2"/>
        <v>5</v>
      </c>
    </row>
    <row r="144" spans="1:10" x14ac:dyDescent="0.3">
      <c r="A144" s="2" t="s">
        <v>30</v>
      </c>
      <c r="B144" s="2" t="s">
        <v>10</v>
      </c>
      <c r="C144" s="2" t="s">
        <v>17</v>
      </c>
      <c r="D144" s="14">
        <v>60</v>
      </c>
      <c r="E144" s="14">
        <v>65</v>
      </c>
      <c r="F144" s="2">
        <v>0</v>
      </c>
      <c r="G144" s="2">
        <v>246</v>
      </c>
      <c r="H144" s="14">
        <v>15990</v>
      </c>
      <c r="I144" s="2" t="s">
        <v>14</v>
      </c>
      <c r="J144" s="2">
        <f t="shared" si="2"/>
        <v>4.8837209302325579</v>
      </c>
    </row>
    <row r="145" spans="1:10" x14ac:dyDescent="0.3">
      <c r="A145" s="2" t="s">
        <v>9</v>
      </c>
      <c r="B145" s="2" t="s">
        <v>10</v>
      </c>
      <c r="C145" s="2" t="s">
        <v>13</v>
      </c>
      <c r="D145" s="14">
        <v>81</v>
      </c>
      <c r="E145" s="14">
        <v>96</v>
      </c>
      <c r="F145" s="2">
        <v>5</v>
      </c>
      <c r="G145" s="2">
        <v>188</v>
      </c>
      <c r="H145" s="14">
        <v>17108</v>
      </c>
      <c r="I145" s="2" t="s">
        <v>12</v>
      </c>
      <c r="J145" s="2">
        <f t="shared" si="2"/>
        <v>5</v>
      </c>
    </row>
    <row r="146" spans="1:10" x14ac:dyDescent="0.3">
      <c r="A146" s="2" t="s">
        <v>18</v>
      </c>
      <c r="B146" s="2" t="s">
        <v>19</v>
      </c>
      <c r="C146" s="2" t="s">
        <v>21</v>
      </c>
      <c r="D146" s="14">
        <v>48</v>
      </c>
      <c r="E146" s="14">
        <v>63</v>
      </c>
      <c r="F146" s="2">
        <v>0</v>
      </c>
      <c r="G146" s="2">
        <v>52</v>
      </c>
      <c r="H146" s="14">
        <v>3276</v>
      </c>
      <c r="I146" s="2" t="s">
        <v>12</v>
      </c>
      <c r="J146" s="2">
        <f t="shared" si="2"/>
        <v>3.3928571428571428</v>
      </c>
    </row>
    <row r="147" spans="1:10" x14ac:dyDescent="0.3">
      <c r="A147" s="2" t="s">
        <v>18</v>
      </c>
      <c r="B147" s="2" t="s">
        <v>19</v>
      </c>
      <c r="C147" s="2" t="s">
        <v>24</v>
      </c>
      <c r="D147" s="14">
        <v>44</v>
      </c>
      <c r="E147" s="14">
        <v>44</v>
      </c>
      <c r="F147" s="2">
        <v>5</v>
      </c>
      <c r="G147" s="2">
        <v>161</v>
      </c>
      <c r="H147" s="14">
        <v>6279</v>
      </c>
      <c r="I147" s="2" t="s">
        <v>14</v>
      </c>
      <c r="J147" s="2">
        <f t="shared" si="2"/>
        <v>3.5185185185185186</v>
      </c>
    </row>
    <row r="148" spans="1:10" x14ac:dyDescent="0.3">
      <c r="A148" s="2" t="s">
        <v>22</v>
      </c>
      <c r="B148" s="2" t="s">
        <v>23</v>
      </c>
      <c r="C148" s="2" t="s">
        <v>21</v>
      </c>
      <c r="D148" s="14">
        <v>173</v>
      </c>
      <c r="E148" s="14">
        <v>188</v>
      </c>
      <c r="F148" s="2">
        <v>5</v>
      </c>
      <c r="G148" s="2">
        <v>86</v>
      </c>
      <c r="H148" s="14">
        <v>15738</v>
      </c>
      <c r="I148" s="2" t="s">
        <v>14</v>
      </c>
      <c r="J148" s="2">
        <f t="shared" si="2"/>
        <v>5.5882352941176467</v>
      </c>
    </row>
    <row r="149" spans="1:10" x14ac:dyDescent="0.3">
      <c r="A149" s="2" t="s">
        <v>26</v>
      </c>
      <c r="B149" s="2" t="s">
        <v>27</v>
      </c>
      <c r="C149" s="2" t="s">
        <v>24</v>
      </c>
      <c r="D149" s="14">
        <v>42</v>
      </c>
      <c r="E149" s="14">
        <v>42</v>
      </c>
      <c r="F149" s="2">
        <v>10</v>
      </c>
      <c r="G149" s="2">
        <v>110</v>
      </c>
      <c r="H149" s="14">
        <v>3520</v>
      </c>
      <c r="I149" s="2" t="s">
        <v>12</v>
      </c>
      <c r="J149" s="2">
        <f t="shared" si="2"/>
        <v>4.25</v>
      </c>
    </row>
    <row r="150" spans="1:10" x14ac:dyDescent="0.3">
      <c r="A150" s="2" t="s">
        <v>30</v>
      </c>
      <c r="B150" s="2" t="s">
        <v>10</v>
      </c>
      <c r="C150" s="2" t="s">
        <v>21</v>
      </c>
      <c r="D150" s="14">
        <v>147</v>
      </c>
      <c r="E150" s="14">
        <v>147</v>
      </c>
      <c r="F150" s="2">
        <v>0</v>
      </c>
      <c r="G150" s="2">
        <v>284</v>
      </c>
      <c r="H150" s="14">
        <v>41748</v>
      </c>
      <c r="I150" s="2" t="s">
        <v>12</v>
      </c>
      <c r="J150" s="2">
        <f t="shared" si="2"/>
        <v>5</v>
      </c>
    </row>
    <row r="151" spans="1:10" x14ac:dyDescent="0.3">
      <c r="A151" s="2" t="s">
        <v>22</v>
      </c>
      <c r="B151" s="2" t="s">
        <v>23</v>
      </c>
      <c r="C151" s="2" t="s">
        <v>21</v>
      </c>
      <c r="D151" s="14">
        <v>44</v>
      </c>
      <c r="E151" s="14">
        <v>44</v>
      </c>
      <c r="F151" s="2">
        <v>10</v>
      </c>
      <c r="G151" s="2">
        <v>103</v>
      </c>
      <c r="H151" s="14">
        <v>3502</v>
      </c>
      <c r="I151" s="2" t="s">
        <v>12</v>
      </c>
      <c r="J151" s="2">
        <f t="shared" si="2"/>
        <v>5.625</v>
      </c>
    </row>
    <row r="152" spans="1:10" x14ac:dyDescent="0.3">
      <c r="A152" s="2" t="s">
        <v>29</v>
      </c>
      <c r="B152" s="2" t="s">
        <v>19</v>
      </c>
      <c r="C152" s="2" t="s">
        <v>21</v>
      </c>
      <c r="D152" s="14">
        <v>149</v>
      </c>
      <c r="E152" s="14">
        <v>159</v>
      </c>
      <c r="F152" s="2">
        <v>0</v>
      </c>
      <c r="G152" s="2">
        <v>93</v>
      </c>
      <c r="H152" s="14">
        <v>14787</v>
      </c>
      <c r="I152" s="2" t="s">
        <v>12</v>
      </c>
      <c r="J152" s="2">
        <f t="shared" si="2"/>
        <v>3.4615384615384617</v>
      </c>
    </row>
    <row r="153" spans="1:10" x14ac:dyDescent="0.3">
      <c r="A153" s="2" t="s">
        <v>15</v>
      </c>
      <c r="B153" s="2" t="s">
        <v>16</v>
      </c>
      <c r="C153" s="2" t="s">
        <v>11</v>
      </c>
      <c r="D153" s="14">
        <v>42</v>
      </c>
      <c r="E153" s="14">
        <v>57</v>
      </c>
      <c r="F153" s="2">
        <v>5</v>
      </c>
      <c r="G153" s="2">
        <v>241</v>
      </c>
      <c r="H153" s="14">
        <v>12532</v>
      </c>
      <c r="I153" s="2" t="s">
        <v>12</v>
      </c>
      <c r="J153" s="2">
        <f t="shared" si="2"/>
        <v>4.666666666666667</v>
      </c>
    </row>
    <row r="154" spans="1:10" x14ac:dyDescent="0.3">
      <c r="A154" s="2" t="s">
        <v>22</v>
      </c>
      <c r="B154" s="2" t="s">
        <v>23</v>
      </c>
      <c r="C154" s="2" t="s">
        <v>21</v>
      </c>
      <c r="D154" s="14">
        <v>134</v>
      </c>
      <c r="E154" s="14">
        <v>134</v>
      </c>
      <c r="F154" s="2">
        <v>5</v>
      </c>
      <c r="G154" s="2">
        <v>82</v>
      </c>
      <c r="H154" s="14">
        <v>10578</v>
      </c>
      <c r="I154" s="2" t="s">
        <v>14</v>
      </c>
      <c r="J154" s="2">
        <f t="shared" si="2"/>
        <v>5.333333333333333</v>
      </c>
    </row>
    <row r="155" spans="1:10" x14ac:dyDescent="0.3">
      <c r="A155" s="2" t="s">
        <v>18</v>
      </c>
      <c r="B155" s="2" t="s">
        <v>19</v>
      </c>
      <c r="C155" s="2" t="s">
        <v>21</v>
      </c>
      <c r="D155" s="14">
        <v>67</v>
      </c>
      <c r="E155" s="14">
        <v>77</v>
      </c>
      <c r="F155" s="2">
        <v>5</v>
      </c>
      <c r="G155" s="2">
        <v>93</v>
      </c>
      <c r="H155" s="14">
        <v>6696</v>
      </c>
      <c r="I155" s="2" t="s">
        <v>12</v>
      </c>
      <c r="J155" s="2">
        <f t="shared" si="2"/>
        <v>3.6</v>
      </c>
    </row>
    <row r="156" spans="1:10" x14ac:dyDescent="0.3">
      <c r="A156" s="2" t="s">
        <v>22</v>
      </c>
      <c r="B156" s="2" t="s">
        <v>23</v>
      </c>
      <c r="C156" s="2" t="s">
        <v>25</v>
      </c>
      <c r="D156" s="14">
        <v>198</v>
      </c>
      <c r="E156" s="14">
        <v>198</v>
      </c>
      <c r="F156" s="2">
        <v>10</v>
      </c>
      <c r="G156" s="2">
        <v>172</v>
      </c>
      <c r="H156" s="14">
        <v>32336</v>
      </c>
      <c r="I156" s="2" t="s">
        <v>12</v>
      </c>
      <c r="J156" s="2">
        <f t="shared" si="2"/>
        <v>5.3571428571428568</v>
      </c>
    </row>
    <row r="157" spans="1:10" x14ac:dyDescent="0.3">
      <c r="A157" s="2" t="s">
        <v>31</v>
      </c>
      <c r="B157" s="2" t="s">
        <v>32</v>
      </c>
      <c r="C157" s="2" t="s">
        <v>24</v>
      </c>
      <c r="D157" s="14">
        <v>141</v>
      </c>
      <c r="E157" s="14">
        <v>151</v>
      </c>
      <c r="F157" s="2">
        <v>5</v>
      </c>
      <c r="G157" s="2">
        <v>65</v>
      </c>
      <c r="H157" s="14">
        <v>9490</v>
      </c>
      <c r="I157" s="2" t="s">
        <v>14</v>
      </c>
      <c r="J157" s="2">
        <f t="shared" si="2"/>
        <v>5.75</v>
      </c>
    </row>
    <row r="158" spans="1:10" x14ac:dyDescent="0.3">
      <c r="A158" s="2" t="s">
        <v>26</v>
      </c>
      <c r="B158" s="2" t="s">
        <v>27</v>
      </c>
      <c r="C158" s="2" t="s">
        <v>13</v>
      </c>
      <c r="D158" s="14">
        <v>77</v>
      </c>
      <c r="E158" s="14">
        <v>77</v>
      </c>
      <c r="F158" s="2">
        <v>0</v>
      </c>
      <c r="G158" s="2">
        <v>89</v>
      </c>
      <c r="H158" s="14">
        <v>6853</v>
      </c>
      <c r="I158" s="2" t="s">
        <v>12</v>
      </c>
      <c r="J158" s="2">
        <f t="shared" si="2"/>
        <v>3.9473684210526314</v>
      </c>
    </row>
    <row r="159" spans="1:10" x14ac:dyDescent="0.3">
      <c r="A159" s="2" t="s">
        <v>22</v>
      </c>
      <c r="B159" s="2" t="s">
        <v>23</v>
      </c>
      <c r="C159" s="2" t="s">
        <v>21</v>
      </c>
      <c r="D159" s="14">
        <v>80</v>
      </c>
      <c r="E159" s="14">
        <v>80</v>
      </c>
      <c r="F159" s="2">
        <v>5</v>
      </c>
      <c r="G159" s="2">
        <v>297</v>
      </c>
      <c r="H159" s="14">
        <v>22275</v>
      </c>
      <c r="I159" s="2" t="s">
        <v>12</v>
      </c>
      <c r="J159" s="2">
        <f t="shared" si="2"/>
        <v>5</v>
      </c>
    </row>
    <row r="160" spans="1:10" x14ac:dyDescent="0.3">
      <c r="A160" s="2" t="s">
        <v>28</v>
      </c>
      <c r="B160" s="2" t="s">
        <v>10</v>
      </c>
      <c r="C160" s="2" t="s">
        <v>11</v>
      </c>
      <c r="D160" s="14">
        <v>128</v>
      </c>
      <c r="E160" s="14">
        <v>128</v>
      </c>
      <c r="F160" s="2">
        <v>5</v>
      </c>
      <c r="G160" s="2">
        <v>263</v>
      </c>
      <c r="H160" s="14">
        <v>32349</v>
      </c>
      <c r="I160" s="2" t="s">
        <v>14</v>
      </c>
      <c r="J160" s="2">
        <f t="shared" si="2"/>
        <v>5.125</v>
      </c>
    </row>
    <row r="161" spans="1:10" x14ac:dyDescent="0.3">
      <c r="A161" s="2" t="s">
        <v>20</v>
      </c>
      <c r="B161" s="2" t="s">
        <v>16</v>
      </c>
      <c r="C161" s="2" t="s">
        <v>11</v>
      </c>
      <c r="D161" s="14">
        <v>67</v>
      </c>
      <c r="E161" s="14">
        <v>82</v>
      </c>
      <c r="F161" s="2">
        <v>10</v>
      </c>
      <c r="G161" s="2">
        <v>258</v>
      </c>
      <c r="H161" s="14">
        <v>18576</v>
      </c>
      <c r="I161" s="2" t="s">
        <v>12</v>
      </c>
      <c r="J161" s="2">
        <f t="shared" si="2"/>
        <v>4.6551724137931032</v>
      </c>
    </row>
    <row r="162" spans="1:10" x14ac:dyDescent="0.3">
      <c r="A162" s="2" t="s">
        <v>29</v>
      </c>
      <c r="B162" s="2" t="s">
        <v>19</v>
      </c>
      <c r="C162" s="2" t="s">
        <v>24</v>
      </c>
      <c r="D162" s="14">
        <v>77</v>
      </c>
      <c r="E162" s="14">
        <v>82</v>
      </c>
      <c r="F162" s="2">
        <v>5</v>
      </c>
      <c r="G162" s="2">
        <v>87</v>
      </c>
      <c r="H162" s="14">
        <v>6699</v>
      </c>
      <c r="I162" s="2" t="s">
        <v>12</v>
      </c>
      <c r="J162" s="2">
        <f t="shared" si="2"/>
        <v>3.5416666666666665</v>
      </c>
    </row>
    <row r="163" spans="1:10" x14ac:dyDescent="0.3">
      <c r="A163" s="2" t="s">
        <v>9</v>
      </c>
      <c r="B163" s="2" t="s">
        <v>10</v>
      </c>
      <c r="C163" s="2" t="s">
        <v>21</v>
      </c>
      <c r="D163" s="14">
        <v>142</v>
      </c>
      <c r="E163" s="14">
        <v>152</v>
      </c>
      <c r="F163" s="2">
        <v>0</v>
      </c>
      <c r="G163" s="2">
        <v>184</v>
      </c>
      <c r="H163" s="14">
        <v>27968</v>
      </c>
      <c r="I163" s="2" t="s">
        <v>12</v>
      </c>
      <c r="J163" s="2">
        <f t="shared" si="2"/>
        <v>5.1282051282051286</v>
      </c>
    </row>
    <row r="164" spans="1:10" x14ac:dyDescent="0.3">
      <c r="A164" s="2" t="s">
        <v>15</v>
      </c>
      <c r="B164" s="2" t="s">
        <v>16</v>
      </c>
      <c r="C164" s="2" t="s">
        <v>25</v>
      </c>
      <c r="D164" s="14">
        <v>88</v>
      </c>
      <c r="E164" s="14">
        <v>103</v>
      </c>
      <c r="F164" s="2">
        <v>0</v>
      </c>
      <c r="G164" s="2">
        <v>56</v>
      </c>
      <c r="H164" s="14">
        <v>5768</v>
      </c>
      <c r="I164" s="2" t="s">
        <v>12</v>
      </c>
      <c r="J164" s="2">
        <f t="shared" si="2"/>
        <v>4.4642857142857144</v>
      </c>
    </row>
    <row r="165" spans="1:10" x14ac:dyDescent="0.3">
      <c r="A165" s="2" t="s">
        <v>9</v>
      </c>
      <c r="B165" s="2" t="s">
        <v>10</v>
      </c>
      <c r="C165" s="2" t="s">
        <v>17</v>
      </c>
      <c r="D165" s="14">
        <v>167</v>
      </c>
      <c r="E165" s="14">
        <v>172</v>
      </c>
      <c r="F165" s="2">
        <v>5</v>
      </c>
      <c r="G165" s="2">
        <v>252</v>
      </c>
      <c r="H165" s="14">
        <v>42084</v>
      </c>
      <c r="I165" s="2" t="s">
        <v>12</v>
      </c>
      <c r="J165" s="2">
        <f t="shared" si="2"/>
        <v>5.2631578947368425</v>
      </c>
    </row>
    <row r="166" spans="1:10" x14ac:dyDescent="0.3">
      <c r="A166" s="2" t="s">
        <v>20</v>
      </c>
      <c r="B166" s="2" t="s">
        <v>16</v>
      </c>
      <c r="C166" s="2" t="s">
        <v>17</v>
      </c>
      <c r="D166" s="14">
        <v>109</v>
      </c>
      <c r="E166" s="14">
        <v>119</v>
      </c>
      <c r="F166" s="2">
        <v>0</v>
      </c>
      <c r="G166" s="2">
        <v>161</v>
      </c>
      <c r="H166" s="14">
        <v>19159</v>
      </c>
      <c r="I166" s="2" t="s">
        <v>12</v>
      </c>
      <c r="J166" s="2">
        <f t="shared" si="2"/>
        <v>4.6296296296296298</v>
      </c>
    </row>
    <row r="167" spans="1:10" x14ac:dyDescent="0.3">
      <c r="A167" s="2" t="s">
        <v>31</v>
      </c>
      <c r="B167" s="2" t="s">
        <v>32</v>
      </c>
      <c r="C167" s="2" t="s">
        <v>21</v>
      </c>
      <c r="D167" s="14">
        <v>161</v>
      </c>
      <c r="E167" s="14">
        <v>171</v>
      </c>
      <c r="F167" s="2">
        <v>0</v>
      </c>
      <c r="G167" s="2">
        <v>226</v>
      </c>
      <c r="H167" s="14">
        <v>38646</v>
      </c>
      <c r="I167" s="2" t="s">
        <v>12</v>
      </c>
      <c r="J167" s="2">
        <f t="shared" si="2"/>
        <v>5.7894736842105265</v>
      </c>
    </row>
    <row r="168" spans="1:10" x14ac:dyDescent="0.3">
      <c r="A168" s="2" t="s">
        <v>20</v>
      </c>
      <c r="B168" s="2" t="s">
        <v>16</v>
      </c>
      <c r="C168" s="2" t="s">
        <v>21</v>
      </c>
      <c r="D168" s="14">
        <v>93</v>
      </c>
      <c r="E168" s="14">
        <v>108</v>
      </c>
      <c r="F168" s="2">
        <v>0</v>
      </c>
      <c r="G168" s="2">
        <v>107</v>
      </c>
      <c r="H168" s="14">
        <v>11556</v>
      </c>
      <c r="I168" s="2" t="s">
        <v>12</v>
      </c>
      <c r="J168" s="2">
        <f t="shared" si="2"/>
        <v>4.8076923076923075</v>
      </c>
    </row>
    <row r="169" spans="1:10" x14ac:dyDescent="0.3">
      <c r="A169" s="2" t="s">
        <v>30</v>
      </c>
      <c r="B169" s="2" t="s">
        <v>10</v>
      </c>
      <c r="C169" s="2" t="s">
        <v>13</v>
      </c>
      <c r="D169" s="14">
        <v>93</v>
      </c>
      <c r="E169" s="14">
        <v>93</v>
      </c>
      <c r="F169" s="2">
        <v>5</v>
      </c>
      <c r="G169" s="2">
        <v>106</v>
      </c>
      <c r="H169" s="14">
        <v>9328</v>
      </c>
      <c r="I169" s="2" t="s">
        <v>14</v>
      </c>
      <c r="J169" s="2">
        <f t="shared" si="2"/>
        <v>5.2702702702702702</v>
      </c>
    </row>
    <row r="170" spans="1:10" x14ac:dyDescent="0.3">
      <c r="A170" s="2" t="s">
        <v>9</v>
      </c>
      <c r="B170" s="2" t="s">
        <v>10</v>
      </c>
      <c r="C170" s="2" t="s">
        <v>17</v>
      </c>
      <c r="D170" s="14">
        <v>198</v>
      </c>
      <c r="E170" s="14">
        <v>203</v>
      </c>
      <c r="F170" s="2">
        <v>0</v>
      </c>
      <c r="G170" s="2">
        <v>188</v>
      </c>
      <c r="H170" s="14">
        <v>38164</v>
      </c>
      <c r="I170" s="2" t="s">
        <v>14</v>
      </c>
      <c r="J170" s="2">
        <f t="shared" si="2"/>
        <v>5.2777777777777777</v>
      </c>
    </row>
    <row r="171" spans="1:10" x14ac:dyDescent="0.3">
      <c r="A171" s="2" t="s">
        <v>18</v>
      </c>
      <c r="B171" s="2" t="s">
        <v>19</v>
      </c>
      <c r="C171" s="2" t="s">
        <v>21</v>
      </c>
      <c r="D171" s="14">
        <v>161</v>
      </c>
      <c r="E171" s="14">
        <v>161</v>
      </c>
      <c r="F171" s="2">
        <v>5</v>
      </c>
      <c r="G171" s="2">
        <v>211</v>
      </c>
      <c r="H171" s="14">
        <v>32916</v>
      </c>
      <c r="I171" s="2" t="s">
        <v>12</v>
      </c>
      <c r="J171" s="2">
        <f t="shared" si="2"/>
        <v>3.4782608695652173</v>
      </c>
    </row>
    <row r="172" spans="1:10" x14ac:dyDescent="0.3">
      <c r="A172" s="2" t="s">
        <v>9</v>
      </c>
      <c r="B172" s="2" t="s">
        <v>10</v>
      </c>
      <c r="C172" s="2" t="s">
        <v>25</v>
      </c>
      <c r="D172" s="14">
        <v>86</v>
      </c>
      <c r="E172" s="14">
        <v>91</v>
      </c>
      <c r="F172" s="2">
        <v>10</v>
      </c>
      <c r="G172" s="2">
        <v>70</v>
      </c>
      <c r="H172" s="14">
        <v>5670</v>
      </c>
      <c r="I172" s="2" t="s">
        <v>12</v>
      </c>
      <c r="J172" s="2">
        <f t="shared" si="2"/>
        <v>5.4285714285714288</v>
      </c>
    </row>
    <row r="173" spans="1:10" x14ac:dyDescent="0.3">
      <c r="A173" s="2" t="s">
        <v>30</v>
      </c>
      <c r="B173" s="2" t="s">
        <v>10</v>
      </c>
      <c r="C173" s="2" t="s">
        <v>25</v>
      </c>
      <c r="D173" s="14">
        <v>148</v>
      </c>
      <c r="E173" s="14">
        <v>163</v>
      </c>
      <c r="F173" s="2">
        <v>5</v>
      </c>
      <c r="G173" s="2">
        <v>79</v>
      </c>
      <c r="H173" s="14">
        <v>12482</v>
      </c>
      <c r="I173" s="2" t="s">
        <v>14</v>
      </c>
      <c r="J173" s="2">
        <f t="shared" si="2"/>
        <v>5.2941176470588234</v>
      </c>
    </row>
    <row r="174" spans="1:10" x14ac:dyDescent="0.3">
      <c r="A174" s="2" t="s">
        <v>15</v>
      </c>
      <c r="B174" s="2" t="s">
        <v>16</v>
      </c>
      <c r="C174" s="2" t="s">
        <v>24</v>
      </c>
      <c r="D174" s="14">
        <v>143</v>
      </c>
      <c r="E174" s="14">
        <v>153</v>
      </c>
      <c r="F174" s="2">
        <v>0</v>
      </c>
      <c r="G174" s="2">
        <v>299</v>
      </c>
      <c r="H174" s="14">
        <v>45747</v>
      </c>
      <c r="I174" s="2" t="s">
        <v>14</v>
      </c>
      <c r="J174" s="2">
        <f t="shared" si="2"/>
        <v>5</v>
      </c>
    </row>
    <row r="175" spans="1:10" x14ac:dyDescent="0.3">
      <c r="A175" s="2" t="s">
        <v>30</v>
      </c>
      <c r="B175" s="2" t="s">
        <v>10</v>
      </c>
      <c r="C175" s="2" t="s">
        <v>21</v>
      </c>
      <c r="D175" s="14">
        <v>71</v>
      </c>
      <c r="E175" s="14">
        <v>81</v>
      </c>
      <c r="F175" s="2">
        <v>0</v>
      </c>
      <c r="G175" s="2">
        <v>61</v>
      </c>
      <c r="H175" s="14">
        <v>4941</v>
      </c>
      <c r="I175" s="2" t="s">
        <v>12</v>
      </c>
      <c r="J175" s="2">
        <f t="shared" si="2"/>
        <v>5.3030303030303028</v>
      </c>
    </row>
    <row r="176" spans="1:10" x14ac:dyDescent="0.3">
      <c r="A176" s="2" t="s">
        <v>31</v>
      </c>
      <c r="B176" s="2" t="s">
        <v>32</v>
      </c>
      <c r="C176" s="2" t="s">
        <v>13</v>
      </c>
      <c r="D176" s="14">
        <v>151</v>
      </c>
      <c r="E176" s="14">
        <v>151</v>
      </c>
      <c r="F176" s="2">
        <v>10</v>
      </c>
      <c r="G176" s="2">
        <v>219</v>
      </c>
      <c r="H176" s="14">
        <v>30879</v>
      </c>
      <c r="I176" s="2" t="s">
        <v>12</v>
      </c>
      <c r="J176" s="2">
        <f t="shared" si="2"/>
        <v>6.1111111111111107</v>
      </c>
    </row>
    <row r="177" spans="1:10" x14ac:dyDescent="0.3">
      <c r="A177" s="2" t="s">
        <v>30</v>
      </c>
      <c r="B177" s="2" t="s">
        <v>10</v>
      </c>
      <c r="C177" s="2" t="s">
        <v>13</v>
      </c>
      <c r="D177" s="14">
        <v>196</v>
      </c>
      <c r="E177" s="14">
        <v>201</v>
      </c>
      <c r="F177" s="2">
        <v>10</v>
      </c>
      <c r="G177" s="2">
        <v>112</v>
      </c>
      <c r="H177" s="14">
        <v>21392</v>
      </c>
      <c r="I177" s="2" t="s">
        <v>14</v>
      </c>
      <c r="J177" s="2">
        <f t="shared" si="2"/>
        <v>5.46875</v>
      </c>
    </row>
    <row r="178" spans="1:10" x14ac:dyDescent="0.3">
      <c r="A178" s="2" t="s">
        <v>18</v>
      </c>
      <c r="B178" s="2" t="s">
        <v>19</v>
      </c>
      <c r="C178" s="2" t="s">
        <v>21</v>
      </c>
      <c r="D178" s="14">
        <v>160</v>
      </c>
      <c r="E178" s="14">
        <v>175</v>
      </c>
      <c r="F178" s="2">
        <v>0</v>
      </c>
      <c r="G178" s="2">
        <v>56</v>
      </c>
      <c r="H178" s="14">
        <v>9800</v>
      </c>
      <c r="I178" s="2" t="s">
        <v>14</v>
      </c>
      <c r="J178" s="2">
        <f t="shared" si="2"/>
        <v>3.4090909090909092</v>
      </c>
    </row>
    <row r="179" spans="1:10" x14ac:dyDescent="0.3">
      <c r="A179" s="2" t="s">
        <v>26</v>
      </c>
      <c r="B179" s="2" t="s">
        <v>27</v>
      </c>
      <c r="C179" s="2" t="s">
        <v>21</v>
      </c>
      <c r="D179" s="14">
        <v>115</v>
      </c>
      <c r="E179" s="14">
        <v>120</v>
      </c>
      <c r="F179" s="2">
        <v>0</v>
      </c>
      <c r="G179" s="2">
        <v>226</v>
      </c>
      <c r="H179" s="14">
        <v>27120</v>
      </c>
      <c r="I179" s="2" t="s">
        <v>12</v>
      </c>
      <c r="J179" s="2">
        <f t="shared" si="2"/>
        <v>4.166666666666667</v>
      </c>
    </row>
    <row r="180" spans="1:10" x14ac:dyDescent="0.3">
      <c r="A180" s="2" t="s">
        <v>9</v>
      </c>
      <c r="B180" s="2" t="s">
        <v>10</v>
      </c>
      <c r="C180" s="2" t="s">
        <v>17</v>
      </c>
      <c r="D180" s="14">
        <v>92</v>
      </c>
      <c r="E180" s="14">
        <v>102</v>
      </c>
      <c r="F180" s="2">
        <v>10</v>
      </c>
      <c r="G180" s="2">
        <v>99</v>
      </c>
      <c r="H180" s="14">
        <v>9108</v>
      </c>
      <c r="I180" s="2" t="s">
        <v>14</v>
      </c>
      <c r="J180" s="2">
        <f t="shared" si="2"/>
        <v>5.32258064516129</v>
      </c>
    </row>
    <row r="181" spans="1:10" x14ac:dyDescent="0.3">
      <c r="A181" s="2" t="s">
        <v>31</v>
      </c>
      <c r="B181" s="2" t="s">
        <v>32</v>
      </c>
      <c r="C181" s="2" t="s">
        <v>25</v>
      </c>
      <c r="D181" s="14">
        <v>107</v>
      </c>
      <c r="E181" s="14">
        <v>112</v>
      </c>
      <c r="F181" s="2">
        <v>5</v>
      </c>
      <c r="G181" s="2">
        <v>117</v>
      </c>
      <c r="H181" s="14">
        <v>12519</v>
      </c>
      <c r="I181" s="2" t="s">
        <v>12</v>
      </c>
      <c r="J181" s="2">
        <f t="shared" si="2"/>
        <v>5.882352941176471</v>
      </c>
    </row>
    <row r="182" spans="1:10" x14ac:dyDescent="0.3">
      <c r="A182" s="2" t="s">
        <v>30</v>
      </c>
      <c r="B182" s="2" t="s">
        <v>10</v>
      </c>
      <c r="C182" s="2" t="s">
        <v>13</v>
      </c>
      <c r="D182" s="14">
        <v>88</v>
      </c>
      <c r="E182" s="14">
        <v>98</v>
      </c>
      <c r="F182" s="2">
        <v>5</v>
      </c>
      <c r="G182" s="2">
        <v>259</v>
      </c>
      <c r="H182" s="14">
        <v>24087</v>
      </c>
      <c r="I182" s="2" t="s">
        <v>12</v>
      </c>
      <c r="J182" s="2">
        <f t="shared" si="2"/>
        <v>5.166666666666667</v>
      </c>
    </row>
    <row r="183" spans="1:10" x14ac:dyDescent="0.3">
      <c r="A183" s="2" t="s">
        <v>18</v>
      </c>
      <c r="B183" s="2" t="s">
        <v>19</v>
      </c>
      <c r="C183" s="2" t="s">
        <v>13</v>
      </c>
      <c r="D183" s="14">
        <v>113</v>
      </c>
      <c r="E183" s="14">
        <v>113</v>
      </c>
      <c r="F183" s="2">
        <v>0</v>
      </c>
      <c r="G183" s="2">
        <v>114</v>
      </c>
      <c r="H183" s="14">
        <v>12882</v>
      </c>
      <c r="I183" s="2" t="s">
        <v>12</v>
      </c>
      <c r="J183" s="2">
        <f t="shared" si="2"/>
        <v>3.5714285714285716</v>
      </c>
    </row>
    <row r="184" spans="1:10" x14ac:dyDescent="0.3">
      <c r="A184" s="2" t="s">
        <v>15</v>
      </c>
      <c r="B184" s="2" t="s">
        <v>16</v>
      </c>
      <c r="C184" s="2" t="s">
        <v>24</v>
      </c>
      <c r="D184" s="14">
        <v>54</v>
      </c>
      <c r="E184" s="14">
        <v>54</v>
      </c>
      <c r="F184" s="2">
        <v>5</v>
      </c>
      <c r="G184" s="2">
        <v>141</v>
      </c>
      <c r="H184" s="14">
        <v>6909</v>
      </c>
      <c r="I184" s="2" t="s">
        <v>14</v>
      </c>
      <c r="J184" s="2">
        <f t="shared" si="2"/>
        <v>5.208333333333333</v>
      </c>
    </row>
    <row r="185" spans="1:10" x14ac:dyDescent="0.3">
      <c r="A185" s="2" t="s">
        <v>15</v>
      </c>
      <c r="B185" s="2" t="s">
        <v>16</v>
      </c>
      <c r="C185" s="2" t="s">
        <v>24</v>
      </c>
      <c r="D185" s="14">
        <v>173</v>
      </c>
      <c r="E185" s="14">
        <v>178</v>
      </c>
      <c r="F185" s="2">
        <v>10</v>
      </c>
      <c r="G185" s="2">
        <v>159</v>
      </c>
      <c r="H185" s="14">
        <v>26712</v>
      </c>
      <c r="I185" s="2" t="s">
        <v>12</v>
      </c>
      <c r="J185" s="2">
        <f t="shared" si="2"/>
        <v>5.2173913043478262</v>
      </c>
    </row>
    <row r="186" spans="1:10" x14ac:dyDescent="0.3">
      <c r="A186" s="2" t="s">
        <v>9</v>
      </c>
      <c r="B186" s="2" t="s">
        <v>10</v>
      </c>
      <c r="C186" s="2" t="s">
        <v>21</v>
      </c>
      <c r="D186" s="14">
        <v>75</v>
      </c>
      <c r="E186" s="14">
        <v>90</v>
      </c>
      <c r="F186" s="2">
        <v>10</v>
      </c>
      <c r="G186" s="2">
        <v>100</v>
      </c>
      <c r="H186" s="14">
        <v>8000</v>
      </c>
      <c r="I186" s="2" t="s">
        <v>14</v>
      </c>
      <c r="J186" s="2">
        <f t="shared" si="2"/>
        <v>5.1724137931034484</v>
      </c>
    </row>
    <row r="187" spans="1:10" x14ac:dyDescent="0.3">
      <c r="A187" s="2" t="s">
        <v>30</v>
      </c>
      <c r="B187" s="2" t="s">
        <v>10</v>
      </c>
      <c r="C187" s="2" t="s">
        <v>11</v>
      </c>
      <c r="D187" s="14">
        <v>48</v>
      </c>
      <c r="E187" s="14">
        <v>58</v>
      </c>
      <c r="F187" s="2">
        <v>5</v>
      </c>
      <c r="G187" s="2">
        <v>112</v>
      </c>
      <c r="H187" s="14">
        <v>5936</v>
      </c>
      <c r="I187" s="2" t="s">
        <v>12</v>
      </c>
      <c r="J187" s="2">
        <f t="shared" si="2"/>
        <v>5</v>
      </c>
    </row>
    <row r="188" spans="1:10" x14ac:dyDescent="0.3">
      <c r="A188" s="2" t="s">
        <v>28</v>
      </c>
      <c r="B188" s="2" t="s">
        <v>10</v>
      </c>
      <c r="C188" s="2" t="s">
        <v>25</v>
      </c>
      <c r="D188" s="14">
        <v>34</v>
      </c>
      <c r="E188" s="14">
        <v>44</v>
      </c>
      <c r="F188" s="2">
        <v>0</v>
      </c>
      <c r="G188" s="2">
        <v>284</v>
      </c>
      <c r="H188" s="14">
        <v>12496</v>
      </c>
      <c r="I188" s="2" t="s">
        <v>12</v>
      </c>
      <c r="J188" s="2">
        <f t="shared" si="2"/>
        <v>5</v>
      </c>
    </row>
    <row r="189" spans="1:10" x14ac:dyDescent="0.3">
      <c r="A189" s="2" t="s">
        <v>22</v>
      </c>
      <c r="B189" s="2" t="s">
        <v>23</v>
      </c>
      <c r="C189" s="2" t="s">
        <v>17</v>
      </c>
      <c r="D189" s="14">
        <v>93</v>
      </c>
      <c r="E189" s="14">
        <v>103</v>
      </c>
      <c r="F189" s="2">
        <v>10</v>
      </c>
      <c r="G189" s="2">
        <v>103</v>
      </c>
      <c r="H189" s="14">
        <v>9579</v>
      </c>
      <c r="I189" s="2" t="s">
        <v>12</v>
      </c>
      <c r="J189" s="2">
        <f t="shared" si="2"/>
        <v>5</v>
      </c>
    </row>
    <row r="190" spans="1:10" x14ac:dyDescent="0.3">
      <c r="A190" s="2" t="s">
        <v>18</v>
      </c>
      <c r="B190" s="2" t="s">
        <v>19</v>
      </c>
      <c r="C190" s="2" t="s">
        <v>13</v>
      </c>
      <c r="D190" s="14">
        <v>55</v>
      </c>
      <c r="E190" s="14">
        <v>55</v>
      </c>
      <c r="F190" s="2">
        <v>0</v>
      </c>
      <c r="G190" s="2">
        <v>271</v>
      </c>
      <c r="H190" s="14">
        <v>14905</v>
      </c>
      <c r="I190" s="2" t="s">
        <v>12</v>
      </c>
      <c r="J190" s="2">
        <f t="shared" si="2"/>
        <v>3.75</v>
      </c>
    </row>
    <row r="191" spans="1:10" x14ac:dyDescent="0.3">
      <c r="A191" s="2" t="s">
        <v>30</v>
      </c>
      <c r="B191" s="2" t="s">
        <v>10</v>
      </c>
      <c r="C191" s="2" t="s">
        <v>24</v>
      </c>
      <c r="D191" s="14">
        <v>36</v>
      </c>
      <c r="E191" s="14">
        <v>51</v>
      </c>
      <c r="F191" s="2">
        <v>10</v>
      </c>
      <c r="G191" s="2">
        <v>139</v>
      </c>
      <c r="H191" s="14">
        <v>5699</v>
      </c>
      <c r="I191" s="2" t="s">
        <v>12</v>
      </c>
      <c r="J191" s="2">
        <f t="shared" si="2"/>
        <v>5.1923076923076925</v>
      </c>
    </row>
    <row r="192" spans="1:10" x14ac:dyDescent="0.3">
      <c r="A192" s="2" t="s">
        <v>28</v>
      </c>
      <c r="B192" s="2" t="s">
        <v>10</v>
      </c>
      <c r="C192" s="2" t="s">
        <v>25</v>
      </c>
      <c r="D192" s="14">
        <v>41</v>
      </c>
      <c r="E192" s="14">
        <v>51</v>
      </c>
      <c r="F192" s="2">
        <v>10</v>
      </c>
      <c r="G192" s="2">
        <v>123</v>
      </c>
      <c r="H192" s="14">
        <v>5043</v>
      </c>
      <c r="I192" s="2" t="s">
        <v>14</v>
      </c>
      <c r="J192" s="2">
        <f t="shared" si="2"/>
        <v>5</v>
      </c>
    </row>
    <row r="193" spans="1:10" x14ac:dyDescent="0.3">
      <c r="A193" s="2" t="s">
        <v>18</v>
      </c>
      <c r="B193" s="2" t="s">
        <v>19</v>
      </c>
      <c r="C193" s="2" t="s">
        <v>17</v>
      </c>
      <c r="D193" s="14">
        <v>162</v>
      </c>
      <c r="E193" s="14">
        <v>172</v>
      </c>
      <c r="F193" s="2">
        <v>5</v>
      </c>
      <c r="G193" s="2">
        <v>184</v>
      </c>
      <c r="H193" s="14">
        <v>30728</v>
      </c>
      <c r="I193" s="2" t="s">
        <v>12</v>
      </c>
      <c r="J193" s="2">
        <f t="shared" si="2"/>
        <v>3.9473684210526314</v>
      </c>
    </row>
    <row r="194" spans="1:10" x14ac:dyDescent="0.3">
      <c r="A194" s="2" t="s">
        <v>18</v>
      </c>
      <c r="B194" s="2" t="s">
        <v>19</v>
      </c>
      <c r="C194" s="2" t="s">
        <v>13</v>
      </c>
      <c r="D194" s="14">
        <v>146</v>
      </c>
      <c r="E194" s="14">
        <v>151</v>
      </c>
      <c r="F194" s="2">
        <v>0</v>
      </c>
      <c r="G194" s="2">
        <v>273</v>
      </c>
      <c r="H194" s="14">
        <v>41223</v>
      </c>
      <c r="I194" s="2" t="s">
        <v>14</v>
      </c>
      <c r="J194" s="2">
        <f t="shared" si="2"/>
        <v>3.8888888888888888</v>
      </c>
    </row>
    <row r="195" spans="1:10" x14ac:dyDescent="0.3">
      <c r="A195" s="2" t="s">
        <v>20</v>
      </c>
      <c r="B195" s="2" t="s">
        <v>16</v>
      </c>
      <c r="C195" s="2" t="s">
        <v>13</v>
      </c>
      <c r="D195" s="14">
        <v>41</v>
      </c>
      <c r="E195" s="14">
        <v>41</v>
      </c>
      <c r="F195" s="2">
        <v>10</v>
      </c>
      <c r="G195" s="2">
        <v>152</v>
      </c>
      <c r="H195" s="14">
        <v>4712</v>
      </c>
      <c r="I195" s="2" t="s">
        <v>12</v>
      </c>
      <c r="J195" s="2">
        <f t="shared" ref="J195:J258" si="3">AVERAGEIF(B195:B494, B195, F195:F494)</f>
        <v>5</v>
      </c>
    </row>
    <row r="196" spans="1:10" x14ac:dyDescent="0.3">
      <c r="A196" s="2" t="s">
        <v>29</v>
      </c>
      <c r="B196" s="2" t="s">
        <v>19</v>
      </c>
      <c r="C196" s="2" t="s">
        <v>11</v>
      </c>
      <c r="D196" s="14">
        <v>74</v>
      </c>
      <c r="E196" s="14">
        <v>84</v>
      </c>
      <c r="F196" s="2">
        <v>10</v>
      </c>
      <c r="G196" s="2">
        <v>197</v>
      </c>
      <c r="H196" s="14">
        <v>14578</v>
      </c>
      <c r="I196" s="2" t="s">
        <v>12</v>
      </c>
      <c r="J196" s="2">
        <f t="shared" si="3"/>
        <v>4.117647058823529</v>
      </c>
    </row>
    <row r="197" spans="1:10" x14ac:dyDescent="0.3">
      <c r="A197" s="2" t="s">
        <v>26</v>
      </c>
      <c r="B197" s="2" t="s">
        <v>27</v>
      </c>
      <c r="C197" s="2" t="s">
        <v>11</v>
      </c>
      <c r="D197" s="14">
        <v>153</v>
      </c>
      <c r="E197" s="14">
        <v>163</v>
      </c>
      <c r="F197" s="2">
        <v>5</v>
      </c>
      <c r="G197" s="2">
        <v>143</v>
      </c>
      <c r="H197" s="14">
        <v>22594</v>
      </c>
      <c r="I197" s="2" t="s">
        <v>12</v>
      </c>
      <c r="J197" s="2">
        <f t="shared" si="3"/>
        <v>4.4117647058823533</v>
      </c>
    </row>
    <row r="198" spans="1:10" x14ac:dyDescent="0.3">
      <c r="A198" s="2" t="s">
        <v>29</v>
      </c>
      <c r="B198" s="2" t="s">
        <v>19</v>
      </c>
      <c r="C198" s="2" t="s">
        <v>24</v>
      </c>
      <c r="D198" s="14">
        <v>147</v>
      </c>
      <c r="E198" s="14">
        <v>157</v>
      </c>
      <c r="F198" s="2">
        <v>5</v>
      </c>
      <c r="G198" s="2">
        <v>133</v>
      </c>
      <c r="H198" s="14">
        <v>20216</v>
      </c>
      <c r="I198" s="2" t="s">
        <v>14</v>
      </c>
      <c r="J198" s="2">
        <f t="shared" si="3"/>
        <v>3.75</v>
      </c>
    </row>
    <row r="199" spans="1:10" x14ac:dyDescent="0.3">
      <c r="A199" s="2" t="s">
        <v>20</v>
      </c>
      <c r="B199" s="2" t="s">
        <v>16</v>
      </c>
      <c r="C199" s="2" t="s">
        <v>13</v>
      </c>
      <c r="D199" s="14">
        <v>67</v>
      </c>
      <c r="E199" s="14">
        <v>82</v>
      </c>
      <c r="F199" s="2">
        <v>10</v>
      </c>
      <c r="G199" s="2">
        <v>192</v>
      </c>
      <c r="H199" s="14">
        <v>13824</v>
      </c>
      <c r="I199" s="2" t="s">
        <v>12</v>
      </c>
      <c r="J199" s="2">
        <f t="shared" si="3"/>
        <v>4.7619047619047619</v>
      </c>
    </row>
    <row r="200" spans="1:10" x14ac:dyDescent="0.3">
      <c r="A200" s="2" t="s">
        <v>26</v>
      </c>
      <c r="B200" s="2" t="s">
        <v>27</v>
      </c>
      <c r="C200" s="2" t="s">
        <v>13</v>
      </c>
      <c r="D200" s="14">
        <v>76</v>
      </c>
      <c r="E200" s="14">
        <v>91</v>
      </c>
      <c r="F200" s="2">
        <v>0</v>
      </c>
      <c r="G200" s="2">
        <v>156</v>
      </c>
      <c r="H200" s="14">
        <v>14196</v>
      </c>
      <c r="I200" s="2" t="s">
        <v>12</v>
      </c>
      <c r="J200" s="2">
        <f t="shared" si="3"/>
        <v>4.375</v>
      </c>
    </row>
    <row r="201" spans="1:10" x14ac:dyDescent="0.3">
      <c r="A201" s="2" t="s">
        <v>20</v>
      </c>
      <c r="B201" s="2" t="s">
        <v>16</v>
      </c>
      <c r="C201" s="2" t="s">
        <v>24</v>
      </c>
      <c r="D201" s="14">
        <v>131</v>
      </c>
      <c r="E201" s="14">
        <v>146</v>
      </c>
      <c r="F201" s="2">
        <v>5</v>
      </c>
      <c r="G201" s="2">
        <v>87</v>
      </c>
      <c r="H201" s="14">
        <v>12267</v>
      </c>
      <c r="I201" s="2" t="s">
        <v>12</v>
      </c>
      <c r="J201" s="2">
        <f t="shared" si="3"/>
        <v>4.5</v>
      </c>
    </row>
    <row r="202" spans="1:10" x14ac:dyDescent="0.3">
      <c r="A202" s="2" t="s">
        <v>26</v>
      </c>
      <c r="B202" s="2" t="s">
        <v>27</v>
      </c>
      <c r="C202" s="2" t="s">
        <v>17</v>
      </c>
      <c r="D202" s="14">
        <v>165</v>
      </c>
      <c r="E202" s="14">
        <v>165</v>
      </c>
      <c r="F202" s="2">
        <v>10</v>
      </c>
      <c r="G202" s="2">
        <v>124</v>
      </c>
      <c r="H202" s="14">
        <v>19220</v>
      </c>
      <c r="I202" s="2" t="s">
        <v>12</v>
      </c>
      <c r="J202" s="2">
        <f t="shared" si="3"/>
        <v>4.666666666666667</v>
      </c>
    </row>
    <row r="203" spans="1:10" x14ac:dyDescent="0.3">
      <c r="A203" s="2" t="s">
        <v>15</v>
      </c>
      <c r="B203" s="2" t="s">
        <v>16</v>
      </c>
      <c r="C203" s="2" t="s">
        <v>17</v>
      </c>
      <c r="D203" s="14">
        <v>143</v>
      </c>
      <c r="E203" s="14">
        <v>148</v>
      </c>
      <c r="F203" s="2">
        <v>10</v>
      </c>
      <c r="G203" s="2">
        <v>60</v>
      </c>
      <c r="H203" s="14">
        <v>8280</v>
      </c>
      <c r="I203" s="2" t="s">
        <v>12</v>
      </c>
      <c r="J203" s="2">
        <f t="shared" si="3"/>
        <v>4.4736842105263159</v>
      </c>
    </row>
    <row r="204" spans="1:10" x14ac:dyDescent="0.3">
      <c r="A204" s="2" t="s">
        <v>20</v>
      </c>
      <c r="B204" s="2" t="s">
        <v>16</v>
      </c>
      <c r="C204" s="2" t="s">
        <v>13</v>
      </c>
      <c r="D204" s="14">
        <v>49</v>
      </c>
      <c r="E204" s="14">
        <v>49</v>
      </c>
      <c r="F204" s="2">
        <v>5</v>
      </c>
      <c r="G204" s="2">
        <v>60</v>
      </c>
      <c r="H204" s="14">
        <v>2640</v>
      </c>
      <c r="I204" s="2" t="s">
        <v>14</v>
      </c>
      <c r="J204" s="2">
        <f t="shared" si="3"/>
        <v>4.166666666666667</v>
      </c>
    </row>
    <row r="205" spans="1:10" x14ac:dyDescent="0.3">
      <c r="A205" s="2" t="s">
        <v>31</v>
      </c>
      <c r="B205" s="2" t="s">
        <v>32</v>
      </c>
      <c r="C205" s="2" t="s">
        <v>13</v>
      </c>
      <c r="D205" s="14">
        <v>154</v>
      </c>
      <c r="E205" s="14">
        <v>159</v>
      </c>
      <c r="F205" s="2">
        <v>0</v>
      </c>
      <c r="G205" s="2">
        <v>224</v>
      </c>
      <c r="H205" s="14">
        <v>35616</v>
      </c>
      <c r="I205" s="2" t="s">
        <v>12</v>
      </c>
      <c r="J205" s="2">
        <f t="shared" si="3"/>
        <v>5.9375</v>
      </c>
    </row>
    <row r="206" spans="1:10" x14ac:dyDescent="0.3">
      <c r="A206" s="2" t="s">
        <v>29</v>
      </c>
      <c r="B206" s="2" t="s">
        <v>19</v>
      </c>
      <c r="C206" s="2" t="s">
        <v>13</v>
      </c>
      <c r="D206" s="14">
        <v>65</v>
      </c>
      <c r="E206" s="14">
        <v>75</v>
      </c>
      <c r="F206" s="2">
        <v>5</v>
      </c>
      <c r="G206" s="2">
        <v>183</v>
      </c>
      <c r="H206" s="14">
        <v>12810</v>
      </c>
      <c r="I206" s="2" t="s">
        <v>12</v>
      </c>
      <c r="J206" s="2">
        <f t="shared" si="3"/>
        <v>3.6666666666666665</v>
      </c>
    </row>
    <row r="207" spans="1:10" x14ac:dyDescent="0.3">
      <c r="A207" s="2" t="s">
        <v>22</v>
      </c>
      <c r="B207" s="2" t="s">
        <v>23</v>
      </c>
      <c r="C207" s="2" t="s">
        <v>11</v>
      </c>
      <c r="D207" s="14">
        <v>69</v>
      </c>
      <c r="E207" s="14">
        <v>74</v>
      </c>
      <c r="F207" s="2">
        <v>0</v>
      </c>
      <c r="G207" s="2">
        <v>224</v>
      </c>
      <c r="H207" s="14">
        <v>16576</v>
      </c>
      <c r="I207" s="2" t="s">
        <v>12</v>
      </c>
      <c r="J207" s="2">
        <f t="shared" si="3"/>
        <v>4.5454545454545459</v>
      </c>
    </row>
    <row r="208" spans="1:10" x14ac:dyDescent="0.3">
      <c r="A208" s="2" t="s">
        <v>31</v>
      </c>
      <c r="B208" s="2" t="s">
        <v>32</v>
      </c>
      <c r="C208" s="2" t="s">
        <v>24</v>
      </c>
      <c r="D208" s="14">
        <v>181</v>
      </c>
      <c r="E208" s="14">
        <v>191</v>
      </c>
      <c r="F208" s="2">
        <v>5</v>
      </c>
      <c r="G208" s="2">
        <v>273</v>
      </c>
      <c r="H208" s="14">
        <v>50778</v>
      </c>
      <c r="I208" s="2" t="s">
        <v>14</v>
      </c>
      <c r="J208" s="2">
        <f t="shared" si="3"/>
        <v>6.333333333333333</v>
      </c>
    </row>
    <row r="209" spans="1:10" x14ac:dyDescent="0.3">
      <c r="A209" s="2" t="s">
        <v>29</v>
      </c>
      <c r="B209" s="2" t="s">
        <v>19</v>
      </c>
      <c r="C209" s="2" t="s">
        <v>21</v>
      </c>
      <c r="D209" s="14">
        <v>30</v>
      </c>
      <c r="E209" s="14">
        <v>45</v>
      </c>
      <c r="F209" s="2">
        <v>5</v>
      </c>
      <c r="G209" s="2">
        <v>262</v>
      </c>
      <c r="H209" s="14">
        <v>10480</v>
      </c>
      <c r="I209" s="2" t="s">
        <v>14</v>
      </c>
      <c r="J209" s="2">
        <f t="shared" si="3"/>
        <v>3.5714285714285716</v>
      </c>
    </row>
    <row r="210" spans="1:10" x14ac:dyDescent="0.3">
      <c r="A210" s="2" t="s">
        <v>9</v>
      </c>
      <c r="B210" s="2" t="s">
        <v>10</v>
      </c>
      <c r="C210" s="2" t="s">
        <v>13</v>
      </c>
      <c r="D210" s="14">
        <v>149</v>
      </c>
      <c r="E210" s="14">
        <v>164</v>
      </c>
      <c r="F210" s="2">
        <v>10</v>
      </c>
      <c r="G210" s="2">
        <v>80</v>
      </c>
      <c r="H210" s="14">
        <v>12320</v>
      </c>
      <c r="I210" s="2" t="s">
        <v>14</v>
      </c>
      <c r="J210" s="2">
        <f t="shared" si="3"/>
        <v>4.791666666666667</v>
      </c>
    </row>
    <row r="211" spans="1:10" x14ac:dyDescent="0.3">
      <c r="A211" s="2" t="s">
        <v>9</v>
      </c>
      <c r="B211" s="2" t="s">
        <v>10</v>
      </c>
      <c r="C211" s="2" t="s">
        <v>25</v>
      </c>
      <c r="D211" s="14">
        <v>177</v>
      </c>
      <c r="E211" s="14">
        <v>192</v>
      </c>
      <c r="F211" s="2">
        <v>0</v>
      </c>
      <c r="G211" s="2">
        <v>253</v>
      </c>
      <c r="H211" s="14">
        <v>48576</v>
      </c>
      <c r="I211" s="2" t="s">
        <v>12</v>
      </c>
      <c r="J211" s="2">
        <f t="shared" si="3"/>
        <v>4.5652173913043477</v>
      </c>
    </row>
    <row r="212" spans="1:10" x14ac:dyDescent="0.3">
      <c r="A212" s="2" t="s">
        <v>20</v>
      </c>
      <c r="B212" s="2" t="s">
        <v>16</v>
      </c>
      <c r="C212" s="2" t="s">
        <v>11</v>
      </c>
      <c r="D212" s="14">
        <v>76</v>
      </c>
      <c r="E212" s="14">
        <v>76</v>
      </c>
      <c r="F212" s="2">
        <v>10</v>
      </c>
      <c r="G212" s="2">
        <v>240</v>
      </c>
      <c r="H212" s="14">
        <v>15840</v>
      </c>
      <c r="I212" s="2" t="s">
        <v>12</v>
      </c>
      <c r="J212" s="2">
        <f t="shared" si="3"/>
        <v>4.117647058823529</v>
      </c>
    </row>
    <row r="213" spans="1:10" x14ac:dyDescent="0.3">
      <c r="A213" s="2" t="s">
        <v>22</v>
      </c>
      <c r="B213" s="2" t="s">
        <v>23</v>
      </c>
      <c r="C213" s="2" t="s">
        <v>13</v>
      </c>
      <c r="D213" s="14">
        <v>169</v>
      </c>
      <c r="E213" s="14">
        <v>169</v>
      </c>
      <c r="F213" s="2">
        <v>5</v>
      </c>
      <c r="G213" s="2">
        <v>270</v>
      </c>
      <c r="H213" s="14">
        <v>44280</v>
      </c>
      <c r="I213" s="2" t="s">
        <v>12</v>
      </c>
      <c r="J213" s="2">
        <f t="shared" si="3"/>
        <v>5</v>
      </c>
    </row>
    <row r="214" spans="1:10" x14ac:dyDescent="0.3">
      <c r="A214" s="2" t="s">
        <v>22</v>
      </c>
      <c r="B214" s="2" t="s">
        <v>23</v>
      </c>
      <c r="C214" s="2" t="s">
        <v>13</v>
      </c>
      <c r="D214" s="14">
        <v>166</v>
      </c>
      <c r="E214" s="14">
        <v>171</v>
      </c>
      <c r="F214" s="2">
        <v>0</v>
      </c>
      <c r="G214" s="2">
        <v>130</v>
      </c>
      <c r="H214" s="14">
        <v>22230</v>
      </c>
      <c r="I214" s="2" t="s">
        <v>12</v>
      </c>
      <c r="J214" s="2">
        <f t="shared" si="3"/>
        <v>5</v>
      </c>
    </row>
    <row r="215" spans="1:10" x14ac:dyDescent="0.3">
      <c r="A215" s="2" t="s">
        <v>29</v>
      </c>
      <c r="B215" s="2" t="s">
        <v>19</v>
      </c>
      <c r="C215" s="2" t="s">
        <v>25</v>
      </c>
      <c r="D215" s="14">
        <v>161</v>
      </c>
      <c r="E215" s="14">
        <v>161</v>
      </c>
      <c r="F215" s="2">
        <v>0</v>
      </c>
      <c r="G215" s="2">
        <v>165</v>
      </c>
      <c r="H215" s="14">
        <v>26565</v>
      </c>
      <c r="I215" s="2" t="s">
        <v>12</v>
      </c>
      <c r="J215" s="2">
        <f t="shared" si="3"/>
        <v>3.4615384615384617</v>
      </c>
    </row>
    <row r="216" spans="1:10" x14ac:dyDescent="0.3">
      <c r="A216" s="2" t="s">
        <v>20</v>
      </c>
      <c r="B216" s="2" t="s">
        <v>16</v>
      </c>
      <c r="C216" s="2" t="s">
        <v>25</v>
      </c>
      <c r="D216" s="14">
        <v>86</v>
      </c>
      <c r="E216" s="14">
        <v>101</v>
      </c>
      <c r="F216" s="2">
        <v>0</v>
      </c>
      <c r="G216" s="2">
        <v>139</v>
      </c>
      <c r="H216" s="14">
        <v>14039</v>
      </c>
      <c r="I216" s="2" t="s">
        <v>14</v>
      </c>
      <c r="J216" s="2">
        <f t="shared" si="3"/>
        <v>3.75</v>
      </c>
    </row>
    <row r="217" spans="1:10" x14ac:dyDescent="0.3">
      <c r="A217" s="2" t="s">
        <v>26</v>
      </c>
      <c r="B217" s="2" t="s">
        <v>27</v>
      </c>
      <c r="C217" s="2" t="s">
        <v>21</v>
      </c>
      <c r="D217" s="14">
        <v>138</v>
      </c>
      <c r="E217" s="14">
        <v>153</v>
      </c>
      <c r="F217" s="2">
        <v>10</v>
      </c>
      <c r="G217" s="2">
        <v>213</v>
      </c>
      <c r="H217" s="14">
        <v>30459</v>
      </c>
      <c r="I217" s="2" t="s">
        <v>12</v>
      </c>
      <c r="J217" s="2">
        <f t="shared" si="3"/>
        <v>4.2857142857142856</v>
      </c>
    </row>
    <row r="218" spans="1:10" x14ac:dyDescent="0.3">
      <c r="A218" s="2" t="s">
        <v>18</v>
      </c>
      <c r="B218" s="2" t="s">
        <v>19</v>
      </c>
      <c r="C218" s="2" t="s">
        <v>13</v>
      </c>
      <c r="D218" s="14">
        <v>129</v>
      </c>
      <c r="E218" s="14">
        <v>139</v>
      </c>
      <c r="F218" s="2">
        <v>0</v>
      </c>
      <c r="G218" s="2">
        <v>69</v>
      </c>
      <c r="H218" s="14">
        <v>9591</v>
      </c>
      <c r="I218" s="2" t="s">
        <v>14</v>
      </c>
      <c r="J218" s="2">
        <f t="shared" si="3"/>
        <v>3.75</v>
      </c>
    </row>
    <row r="219" spans="1:10" x14ac:dyDescent="0.3">
      <c r="A219" s="2" t="s">
        <v>22</v>
      </c>
      <c r="B219" s="2" t="s">
        <v>23</v>
      </c>
      <c r="C219" s="2" t="s">
        <v>24</v>
      </c>
      <c r="D219" s="14">
        <v>103</v>
      </c>
      <c r="E219" s="14">
        <v>118</v>
      </c>
      <c r="F219" s="2">
        <v>5</v>
      </c>
      <c r="G219" s="2">
        <v>215</v>
      </c>
      <c r="H219" s="14">
        <v>24295</v>
      </c>
      <c r="I219" s="2" t="s">
        <v>12</v>
      </c>
      <c r="J219" s="2">
        <f t="shared" si="3"/>
        <v>5.625</v>
      </c>
    </row>
    <row r="220" spans="1:10" x14ac:dyDescent="0.3">
      <c r="A220" s="2" t="s">
        <v>26</v>
      </c>
      <c r="B220" s="2" t="s">
        <v>27</v>
      </c>
      <c r="C220" s="2" t="s">
        <v>21</v>
      </c>
      <c r="D220" s="14">
        <v>43</v>
      </c>
      <c r="E220" s="14">
        <v>58</v>
      </c>
      <c r="F220" s="2">
        <v>5</v>
      </c>
      <c r="G220" s="2">
        <v>137</v>
      </c>
      <c r="H220" s="14">
        <v>7261</v>
      </c>
      <c r="I220" s="2" t="s">
        <v>14</v>
      </c>
      <c r="J220" s="2">
        <f t="shared" si="3"/>
        <v>3.8461538461538463</v>
      </c>
    </row>
    <row r="221" spans="1:10" x14ac:dyDescent="0.3">
      <c r="A221" s="2" t="s">
        <v>29</v>
      </c>
      <c r="B221" s="2" t="s">
        <v>19</v>
      </c>
      <c r="C221" s="2" t="s">
        <v>17</v>
      </c>
      <c r="D221" s="14">
        <v>135</v>
      </c>
      <c r="E221" s="14">
        <v>140</v>
      </c>
      <c r="F221" s="2">
        <v>0</v>
      </c>
      <c r="G221" s="2">
        <v>179</v>
      </c>
      <c r="H221" s="14">
        <v>25060</v>
      </c>
      <c r="I221" s="2" t="s">
        <v>12</v>
      </c>
      <c r="J221" s="2">
        <f t="shared" si="3"/>
        <v>4.0909090909090908</v>
      </c>
    </row>
    <row r="222" spans="1:10" x14ac:dyDescent="0.3">
      <c r="A222" s="2" t="s">
        <v>26</v>
      </c>
      <c r="B222" s="2" t="s">
        <v>27</v>
      </c>
      <c r="C222" s="2" t="s">
        <v>21</v>
      </c>
      <c r="D222" s="14">
        <v>167</v>
      </c>
      <c r="E222" s="14">
        <v>182</v>
      </c>
      <c r="F222" s="2">
        <v>5</v>
      </c>
      <c r="G222" s="2">
        <v>180</v>
      </c>
      <c r="H222" s="14">
        <v>31860</v>
      </c>
      <c r="I222" s="2" t="s">
        <v>14</v>
      </c>
      <c r="J222" s="2">
        <f t="shared" si="3"/>
        <v>3.75</v>
      </c>
    </row>
    <row r="223" spans="1:10" x14ac:dyDescent="0.3">
      <c r="A223" s="2" t="s">
        <v>30</v>
      </c>
      <c r="B223" s="2" t="s">
        <v>10</v>
      </c>
      <c r="C223" s="2" t="s">
        <v>13</v>
      </c>
      <c r="D223" s="14">
        <v>30</v>
      </c>
      <c r="E223" s="14">
        <v>35</v>
      </c>
      <c r="F223" s="2">
        <v>10</v>
      </c>
      <c r="G223" s="2">
        <v>83</v>
      </c>
      <c r="H223" s="14">
        <v>2075</v>
      </c>
      <c r="I223" s="2" t="s">
        <v>12</v>
      </c>
      <c r="J223" s="2">
        <f t="shared" si="3"/>
        <v>4.7727272727272725</v>
      </c>
    </row>
    <row r="224" spans="1:10" x14ac:dyDescent="0.3">
      <c r="A224" s="2" t="s">
        <v>20</v>
      </c>
      <c r="B224" s="2" t="s">
        <v>16</v>
      </c>
      <c r="C224" s="2" t="s">
        <v>17</v>
      </c>
      <c r="D224" s="14">
        <v>113</v>
      </c>
      <c r="E224" s="14">
        <v>113</v>
      </c>
      <c r="F224" s="2">
        <v>5</v>
      </c>
      <c r="G224" s="2">
        <v>73</v>
      </c>
      <c r="H224" s="14">
        <v>7884</v>
      </c>
      <c r="I224" s="2" t="s">
        <v>14</v>
      </c>
      <c r="J224" s="2">
        <f t="shared" si="3"/>
        <v>4</v>
      </c>
    </row>
    <row r="225" spans="1:10" x14ac:dyDescent="0.3">
      <c r="A225" s="2" t="s">
        <v>15</v>
      </c>
      <c r="B225" s="2" t="s">
        <v>16</v>
      </c>
      <c r="C225" s="2" t="s">
        <v>25</v>
      </c>
      <c r="D225" s="14">
        <v>27</v>
      </c>
      <c r="E225" s="14">
        <v>27</v>
      </c>
      <c r="F225" s="2">
        <v>0</v>
      </c>
      <c r="G225" s="2">
        <v>116</v>
      </c>
      <c r="H225" s="14">
        <v>3132</v>
      </c>
      <c r="I225" s="2" t="s">
        <v>12</v>
      </c>
      <c r="J225" s="2">
        <f t="shared" si="3"/>
        <v>3.9285714285714284</v>
      </c>
    </row>
    <row r="226" spans="1:10" x14ac:dyDescent="0.3">
      <c r="A226" s="2" t="s">
        <v>31</v>
      </c>
      <c r="B226" s="2" t="s">
        <v>32</v>
      </c>
      <c r="C226" s="2" t="s">
        <v>21</v>
      </c>
      <c r="D226" s="14">
        <v>187</v>
      </c>
      <c r="E226" s="14">
        <v>197</v>
      </c>
      <c r="F226" s="2">
        <v>10</v>
      </c>
      <c r="G226" s="2">
        <v>94</v>
      </c>
      <c r="H226" s="14">
        <v>17578</v>
      </c>
      <c r="I226" s="2" t="s">
        <v>14</v>
      </c>
      <c r="J226" s="2">
        <f t="shared" si="3"/>
        <v>6.4285714285714288</v>
      </c>
    </row>
    <row r="227" spans="1:10" x14ac:dyDescent="0.3">
      <c r="A227" s="2" t="s">
        <v>31</v>
      </c>
      <c r="B227" s="2" t="s">
        <v>32</v>
      </c>
      <c r="C227" s="2" t="s">
        <v>24</v>
      </c>
      <c r="D227" s="14">
        <v>136</v>
      </c>
      <c r="E227" s="14">
        <v>151</v>
      </c>
      <c r="F227" s="2">
        <v>5</v>
      </c>
      <c r="G227" s="2">
        <v>119</v>
      </c>
      <c r="H227" s="14">
        <v>17374</v>
      </c>
      <c r="I227" s="2" t="s">
        <v>12</v>
      </c>
      <c r="J227" s="2">
        <f t="shared" si="3"/>
        <v>6.1538461538461542</v>
      </c>
    </row>
    <row r="228" spans="1:10" x14ac:dyDescent="0.3">
      <c r="A228" s="2" t="s">
        <v>22</v>
      </c>
      <c r="B228" s="2" t="s">
        <v>23</v>
      </c>
      <c r="C228" s="2" t="s">
        <v>25</v>
      </c>
      <c r="D228" s="14">
        <v>23</v>
      </c>
      <c r="E228" s="14">
        <v>28</v>
      </c>
      <c r="F228" s="2">
        <v>10</v>
      </c>
      <c r="G228" s="2">
        <v>287</v>
      </c>
      <c r="H228" s="14">
        <v>5166</v>
      </c>
      <c r="I228" s="2" t="s">
        <v>12</v>
      </c>
      <c r="J228" s="2">
        <f t="shared" si="3"/>
        <v>5.7142857142857144</v>
      </c>
    </row>
    <row r="229" spans="1:10" x14ac:dyDescent="0.3">
      <c r="A229" s="2" t="s">
        <v>31</v>
      </c>
      <c r="B229" s="2" t="s">
        <v>32</v>
      </c>
      <c r="C229" s="2" t="s">
        <v>17</v>
      </c>
      <c r="D229" s="14">
        <v>159</v>
      </c>
      <c r="E229" s="14">
        <v>164</v>
      </c>
      <c r="F229" s="2">
        <v>0</v>
      </c>
      <c r="G229" s="2">
        <v>91</v>
      </c>
      <c r="H229" s="14">
        <v>14924</v>
      </c>
      <c r="I229" s="2" t="s">
        <v>12</v>
      </c>
      <c r="J229" s="2">
        <f t="shared" si="3"/>
        <v>6.25</v>
      </c>
    </row>
    <row r="230" spans="1:10" x14ac:dyDescent="0.3">
      <c r="A230" s="2" t="s">
        <v>20</v>
      </c>
      <c r="B230" s="2" t="s">
        <v>16</v>
      </c>
      <c r="C230" s="2" t="s">
        <v>21</v>
      </c>
      <c r="D230" s="14">
        <v>81</v>
      </c>
      <c r="E230" s="14">
        <v>91</v>
      </c>
      <c r="F230" s="2">
        <v>5</v>
      </c>
      <c r="G230" s="2">
        <v>95</v>
      </c>
      <c r="H230" s="14">
        <v>8170</v>
      </c>
      <c r="I230" s="2" t="s">
        <v>12</v>
      </c>
      <c r="J230" s="2">
        <f t="shared" si="3"/>
        <v>4.2307692307692308</v>
      </c>
    </row>
    <row r="231" spans="1:10" x14ac:dyDescent="0.3">
      <c r="A231" s="2" t="s">
        <v>28</v>
      </c>
      <c r="B231" s="2" t="s">
        <v>10</v>
      </c>
      <c r="C231" s="2" t="s">
        <v>11</v>
      </c>
      <c r="D231" s="14">
        <v>97</v>
      </c>
      <c r="E231" s="14">
        <v>112</v>
      </c>
      <c r="F231" s="2">
        <v>0</v>
      </c>
      <c r="G231" s="2">
        <v>147</v>
      </c>
      <c r="H231" s="14">
        <v>16464</v>
      </c>
      <c r="I231" s="2" t="s">
        <v>12</v>
      </c>
      <c r="J231" s="2">
        <f t="shared" si="3"/>
        <v>4.5238095238095237</v>
      </c>
    </row>
    <row r="232" spans="1:10" x14ac:dyDescent="0.3">
      <c r="A232" s="2" t="s">
        <v>26</v>
      </c>
      <c r="B232" s="2" t="s">
        <v>27</v>
      </c>
      <c r="C232" s="2" t="s">
        <v>24</v>
      </c>
      <c r="D232" s="14">
        <v>128</v>
      </c>
      <c r="E232" s="14">
        <v>128</v>
      </c>
      <c r="F232" s="2">
        <v>5</v>
      </c>
      <c r="G232" s="2">
        <v>70</v>
      </c>
      <c r="H232" s="14">
        <v>8610</v>
      </c>
      <c r="I232" s="2" t="s">
        <v>12</v>
      </c>
      <c r="J232" s="2">
        <f t="shared" si="3"/>
        <v>3.6363636363636362</v>
      </c>
    </row>
    <row r="233" spans="1:10" x14ac:dyDescent="0.3">
      <c r="A233" s="2" t="s">
        <v>26</v>
      </c>
      <c r="B233" s="2" t="s">
        <v>27</v>
      </c>
      <c r="C233" s="2" t="s">
        <v>25</v>
      </c>
      <c r="D233" s="14">
        <v>139</v>
      </c>
      <c r="E233" s="14">
        <v>139</v>
      </c>
      <c r="F233" s="2">
        <v>5</v>
      </c>
      <c r="G233" s="2">
        <v>143</v>
      </c>
      <c r="H233" s="14">
        <v>19162</v>
      </c>
      <c r="I233" s="2" t="s">
        <v>14</v>
      </c>
      <c r="J233" s="2">
        <f t="shared" si="3"/>
        <v>3.5</v>
      </c>
    </row>
    <row r="234" spans="1:10" x14ac:dyDescent="0.3">
      <c r="A234" s="2" t="s">
        <v>9</v>
      </c>
      <c r="B234" s="2" t="s">
        <v>10</v>
      </c>
      <c r="C234" s="2" t="s">
        <v>13</v>
      </c>
      <c r="D234" s="14">
        <v>131</v>
      </c>
      <c r="E234" s="14">
        <v>141</v>
      </c>
      <c r="F234" s="2">
        <v>10</v>
      </c>
      <c r="G234" s="2">
        <v>154</v>
      </c>
      <c r="H234" s="14">
        <v>20174</v>
      </c>
      <c r="I234" s="2" t="s">
        <v>12</v>
      </c>
      <c r="J234" s="2">
        <f t="shared" si="3"/>
        <v>4.75</v>
      </c>
    </row>
    <row r="235" spans="1:10" x14ac:dyDescent="0.3">
      <c r="A235" s="2" t="s">
        <v>28</v>
      </c>
      <c r="B235" s="2" t="s">
        <v>10</v>
      </c>
      <c r="C235" s="2" t="s">
        <v>24</v>
      </c>
      <c r="D235" s="14">
        <v>74</v>
      </c>
      <c r="E235" s="14">
        <v>79</v>
      </c>
      <c r="F235" s="2">
        <v>0</v>
      </c>
      <c r="G235" s="2">
        <v>257</v>
      </c>
      <c r="H235" s="14">
        <v>20303</v>
      </c>
      <c r="I235" s="2" t="s">
        <v>12</v>
      </c>
      <c r="J235" s="2">
        <f t="shared" si="3"/>
        <v>4.4736842105263159</v>
      </c>
    </row>
    <row r="236" spans="1:10" x14ac:dyDescent="0.3">
      <c r="A236" s="2" t="s">
        <v>30</v>
      </c>
      <c r="B236" s="2" t="s">
        <v>10</v>
      </c>
      <c r="C236" s="2" t="s">
        <v>11</v>
      </c>
      <c r="D236" s="14">
        <v>43</v>
      </c>
      <c r="E236" s="14">
        <v>43</v>
      </c>
      <c r="F236" s="2">
        <v>0</v>
      </c>
      <c r="G236" s="2">
        <v>94</v>
      </c>
      <c r="H236" s="14">
        <v>4042</v>
      </c>
      <c r="I236" s="2" t="s">
        <v>14</v>
      </c>
      <c r="J236" s="2">
        <f t="shared" si="3"/>
        <v>4.7222222222222223</v>
      </c>
    </row>
    <row r="237" spans="1:10" x14ac:dyDescent="0.3">
      <c r="A237" s="2" t="s">
        <v>28</v>
      </c>
      <c r="B237" s="2" t="s">
        <v>10</v>
      </c>
      <c r="C237" s="2" t="s">
        <v>13</v>
      </c>
      <c r="D237" s="14">
        <v>81</v>
      </c>
      <c r="E237" s="14">
        <v>81</v>
      </c>
      <c r="F237" s="2">
        <v>0</v>
      </c>
      <c r="G237" s="2">
        <v>154</v>
      </c>
      <c r="H237" s="14">
        <v>12474</v>
      </c>
      <c r="I237" s="2" t="s">
        <v>14</v>
      </c>
      <c r="J237" s="2">
        <f t="shared" si="3"/>
        <v>5</v>
      </c>
    </row>
    <row r="238" spans="1:10" x14ac:dyDescent="0.3">
      <c r="A238" s="2" t="s">
        <v>22</v>
      </c>
      <c r="B238" s="2" t="s">
        <v>23</v>
      </c>
      <c r="C238" s="2" t="s">
        <v>25</v>
      </c>
      <c r="D238" s="14">
        <v>59</v>
      </c>
      <c r="E238" s="14">
        <v>64</v>
      </c>
      <c r="F238" s="2">
        <v>10</v>
      </c>
      <c r="G238" s="2">
        <v>111</v>
      </c>
      <c r="H238" s="14">
        <v>5994</v>
      </c>
      <c r="I238" s="2" t="s">
        <v>12</v>
      </c>
      <c r="J238" s="2">
        <f t="shared" si="3"/>
        <v>5</v>
      </c>
    </row>
    <row r="239" spans="1:10" x14ac:dyDescent="0.3">
      <c r="A239" s="2" t="s">
        <v>28</v>
      </c>
      <c r="B239" s="2" t="s">
        <v>10</v>
      </c>
      <c r="C239" s="2" t="s">
        <v>25</v>
      </c>
      <c r="D239" s="14">
        <v>76</v>
      </c>
      <c r="E239" s="14">
        <v>76</v>
      </c>
      <c r="F239" s="2">
        <v>0</v>
      </c>
      <c r="G239" s="2">
        <v>238</v>
      </c>
      <c r="H239" s="14">
        <v>18088</v>
      </c>
      <c r="I239" s="2" t="s">
        <v>12</v>
      </c>
      <c r="J239" s="2">
        <f t="shared" si="3"/>
        <v>5.3125</v>
      </c>
    </row>
    <row r="240" spans="1:10" x14ac:dyDescent="0.3">
      <c r="A240" s="2" t="s">
        <v>29</v>
      </c>
      <c r="B240" s="2" t="s">
        <v>19</v>
      </c>
      <c r="C240" s="2" t="s">
        <v>25</v>
      </c>
      <c r="D240" s="14">
        <v>140</v>
      </c>
      <c r="E240" s="14">
        <v>155</v>
      </c>
      <c r="F240" s="2">
        <v>5</v>
      </c>
      <c r="G240" s="2">
        <v>259</v>
      </c>
      <c r="H240" s="14">
        <v>38850</v>
      </c>
      <c r="I240" s="2" t="s">
        <v>12</v>
      </c>
      <c r="J240" s="2">
        <f t="shared" si="3"/>
        <v>4.5</v>
      </c>
    </row>
    <row r="241" spans="1:10" x14ac:dyDescent="0.3">
      <c r="A241" s="2" t="s">
        <v>30</v>
      </c>
      <c r="B241" s="2" t="s">
        <v>10</v>
      </c>
      <c r="C241" s="2" t="s">
        <v>17</v>
      </c>
      <c r="D241" s="14">
        <v>63</v>
      </c>
      <c r="E241" s="14">
        <v>78</v>
      </c>
      <c r="F241" s="2">
        <v>10</v>
      </c>
      <c r="G241" s="2">
        <v>106</v>
      </c>
      <c r="H241" s="14">
        <v>7208</v>
      </c>
      <c r="I241" s="2" t="s">
        <v>12</v>
      </c>
      <c r="J241" s="2">
        <f t="shared" si="3"/>
        <v>5.666666666666667</v>
      </c>
    </row>
    <row r="242" spans="1:10" x14ac:dyDescent="0.3">
      <c r="A242" s="2" t="s">
        <v>31</v>
      </c>
      <c r="B242" s="2" t="s">
        <v>32</v>
      </c>
      <c r="C242" s="2" t="s">
        <v>24</v>
      </c>
      <c r="D242" s="14">
        <v>181</v>
      </c>
      <c r="E242" s="14">
        <v>186</v>
      </c>
      <c r="F242" s="2">
        <v>10</v>
      </c>
      <c r="G242" s="2">
        <v>108</v>
      </c>
      <c r="H242" s="14">
        <v>19008</v>
      </c>
      <c r="I242" s="2" t="s">
        <v>12</v>
      </c>
      <c r="J242" s="2">
        <f t="shared" si="3"/>
        <v>6.8181818181818183</v>
      </c>
    </row>
    <row r="243" spans="1:10" x14ac:dyDescent="0.3">
      <c r="A243" s="2" t="s">
        <v>15</v>
      </c>
      <c r="B243" s="2" t="s">
        <v>16</v>
      </c>
      <c r="C243" s="2" t="s">
        <v>17</v>
      </c>
      <c r="D243" s="14">
        <v>129</v>
      </c>
      <c r="E243" s="14">
        <v>144</v>
      </c>
      <c r="F243" s="2">
        <v>0</v>
      </c>
      <c r="G243" s="2">
        <v>204</v>
      </c>
      <c r="H243" s="14">
        <v>29376</v>
      </c>
      <c r="I243" s="2" t="s">
        <v>12</v>
      </c>
      <c r="J243" s="2">
        <f t="shared" si="3"/>
        <v>4.166666666666667</v>
      </c>
    </row>
    <row r="244" spans="1:10" x14ac:dyDescent="0.3">
      <c r="A244" s="2" t="s">
        <v>18</v>
      </c>
      <c r="B244" s="2" t="s">
        <v>19</v>
      </c>
      <c r="C244" s="2" t="s">
        <v>24</v>
      </c>
      <c r="D244" s="14">
        <v>24</v>
      </c>
      <c r="E244" s="14">
        <v>29</v>
      </c>
      <c r="F244" s="2">
        <v>5</v>
      </c>
      <c r="G244" s="2">
        <v>137</v>
      </c>
      <c r="H244" s="14">
        <v>3288</v>
      </c>
      <c r="I244" s="2" t="s">
        <v>12</v>
      </c>
      <c r="J244" s="2">
        <f t="shared" si="3"/>
        <v>4.4444444444444446</v>
      </c>
    </row>
    <row r="245" spans="1:10" x14ac:dyDescent="0.3">
      <c r="A245" s="2" t="s">
        <v>29</v>
      </c>
      <c r="B245" s="2" t="s">
        <v>19</v>
      </c>
      <c r="C245" s="2" t="s">
        <v>11</v>
      </c>
      <c r="D245" s="14">
        <v>82</v>
      </c>
      <c r="E245" s="14">
        <v>87</v>
      </c>
      <c r="F245" s="2">
        <v>5</v>
      </c>
      <c r="G245" s="2">
        <v>77</v>
      </c>
      <c r="H245" s="14">
        <v>6314</v>
      </c>
      <c r="I245" s="2" t="s">
        <v>12</v>
      </c>
      <c r="J245" s="2">
        <f t="shared" si="3"/>
        <v>4.375</v>
      </c>
    </row>
    <row r="246" spans="1:10" x14ac:dyDescent="0.3">
      <c r="A246" s="2" t="s">
        <v>31</v>
      </c>
      <c r="B246" s="2" t="s">
        <v>32</v>
      </c>
      <c r="C246" s="2" t="s">
        <v>25</v>
      </c>
      <c r="D246" s="14">
        <v>87</v>
      </c>
      <c r="E246" s="14">
        <v>92</v>
      </c>
      <c r="F246" s="2">
        <v>10</v>
      </c>
      <c r="G246" s="2">
        <v>255</v>
      </c>
      <c r="H246" s="14">
        <v>20910</v>
      </c>
      <c r="I246" s="2" t="s">
        <v>12</v>
      </c>
      <c r="J246" s="2">
        <f t="shared" si="3"/>
        <v>6.5</v>
      </c>
    </row>
    <row r="247" spans="1:10" x14ac:dyDescent="0.3">
      <c r="A247" s="2" t="s">
        <v>29</v>
      </c>
      <c r="B247" s="2" t="s">
        <v>19</v>
      </c>
      <c r="C247" s="2" t="s">
        <v>24</v>
      </c>
      <c r="D247" s="14">
        <v>174</v>
      </c>
      <c r="E247" s="14">
        <v>184</v>
      </c>
      <c r="F247" s="2">
        <v>0</v>
      </c>
      <c r="G247" s="2">
        <v>129</v>
      </c>
      <c r="H247" s="14">
        <v>23736</v>
      </c>
      <c r="I247" s="2" t="s">
        <v>12</v>
      </c>
      <c r="J247" s="2">
        <f t="shared" si="3"/>
        <v>4.2857142857142856</v>
      </c>
    </row>
    <row r="248" spans="1:10" x14ac:dyDescent="0.3">
      <c r="A248" s="2" t="s">
        <v>22</v>
      </c>
      <c r="B248" s="2" t="s">
        <v>23</v>
      </c>
      <c r="C248" s="2" t="s">
        <v>11</v>
      </c>
      <c r="D248" s="14">
        <v>63</v>
      </c>
      <c r="E248" s="14">
        <v>63</v>
      </c>
      <c r="F248" s="2">
        <v>0</v>
      </c>
      <c r="G248" s="2">
        <v>178</v>
      </c>
      <c r="H248" s="14">
        <v>11214</v>
      </c>
      <c r="I248" s="2" t="s">
        <v>12</v>
      </c>
      <c r="J248" s="2">
        <f t="shared" si="3"/>
        <v>4</v>
      </c>
    </row>
    <row r="249" spans="1:10" x14ac:dyDescent="0.3">
      <c r="A249" s="2" t="s">
        <v>28</v>
      </c>
      <c r="B249" s="2" t="s">
        <v>10</v>
      </c>
      <c r="C249" s="2" t="s">
        <v>21</v>
      </c>
      <c r="D249" s="14">
        <v>149</v>
      </c>
      <c r="E249" s="14">
        <v>159</v>
      </c>
      <c r="F249" s="2">
        <v>10</v>
      </c>
      <c r="G249" s="2">
        <v>269</v>
      </c>
      <c r="H249" s="14">
        <v>40081</v>
      </c>
      <c r="I249" s="2" t="s">
        <v>12</v>
      </c>
      <c r="J249" s="2">
        <f t="shared" si="3"/>
        <v>5.3571428571428568</v>
      </c>
    </row>
    <row r="250" spans="1:10" x14ac:dyDescent="0.3">
      <c r="A250" s="2" t="s">
        <v>31</v>
      </c>
      <c r="B250" s="2" t="s">
        <v>32</v>
      </c>
      <c r="C250" s="2" t="s">
        <v>17</v>
      </c>
      <c r="D250" s="14">
        <v>119</v>
      </c>
      <c r="E250" s="14">
        <v>119</v>
      </c>
      <c r="F250" s="2">
        <v>0</v>
      </c>
      <c r="G250" s="2">
        <v>230</v>
      </c>
      <c r="H250" s="14">
        <v>27370</v>
      </c>
      <c r="I250" s="2" t="s">
        <v>12</v>
      </c>
      <c r="J250" s="2">
        <f t="shared" si="3"/>
        <v>6.1111111111111107</v>
      </c>
    </row>
    <row r="251" spans="1:10" x14ac:dyDescent="0.3">
      <c r="A251" s="2" t="s">
        <v>9</v>
      </c>
      <c r="B251" s="2" t="s">
        <v>10</v>
      </c>
      <c r="C251" s="2" t="s">
        <v>11</v>
      </c>
      <c r="D251" s="14">
        <v>106</v>
      </c>
      <c r="E251" s="14">
        <v>116</v>
      </c>
      <c r="F251" s="2">
        <v>0</v>
      </c>
      <c r="G251" s="2">
        <v>115</v>
      </c>
      <c r="H251" s="14">
        <v>13340</v>
      </c>
      <c r="I251" s="2" t="s">
        <v>14</v>
      </c>
      <c r="J251" s="2">
        <f t="shared" si="3"/>
        <v>5</v>
      </c>
    </row>
    <row r="252" spans="1:10" x14ac:dyDescent="0.3">
      <c r="A252" s="2" t="s">
        <v>29</v>
      </c>
      <c r="B252" s="2" t="s">
        <v>19</v>
      </c>
      <c r="C252" s="2" t="s">
        <v>17</v>
      </c>
      <c r="D252" s="14">
        <v>85</v>
      </c>
      <c r="E252" s="14">
        <v>90</v>
      </c>
      <c r="F252" s="2">
        <v>5</v>
      </c>
      <c r="G252" s="2">
        <v>195</v>
      </c>
      <c r="H252" s="14">
        <v>16575</v>
      </c>
      <c r="I252" s="2" t="s">
        <v>14</v>
      </c>
      <c r="J252" s="2">
        <f t="shared" si="3"/>
        <v>5</v>
      </c>
    </row>
    <row r="253" spans="1:10" x14ac:dyDescent="0.3">
      <c r="A253" s="2" t="s">
        <v>15</v>
      </c>
      <c r="B253" s="2" t="s">
        <v>16</v>
      </c>
      <c r="C253" s="2" t="s">
        <v>24</v>
      </c>
      <c r="D253" s="14">
        <v>129</v>
      </c>
      <c r="E253" s="14">
        <v>139</v>
      </c>
      <c r="F253" s="2">
        <v>0</v>
      </c>
      <c r="G253" s="2">
        <v>195</v>
      </c>
      <c r="H253" s="14">
        <v>27105</v>
      </c>
      <c r="I253" s="2" t="s">
        <v>14</v>
      </c>
      <c r="J253" s="2">
        <f t="shared" si="3"/>
        <v>4.5454545454545459</v>
      </c>
    </row>
    <row r="254" spans="1:10" x14ac:dyDescent="0.3">
      <c r="A254" s="2" t="s">
        <v>26</v>
      </c>
      <c r="B254" s="2" t="s">
        <v>27</v>
      </c>
      <c r="C254" s="2" t="s">
        <v>13</v>
      </c>
      <c r="D254" s="14">
        <v>80</v>
      </c>
      <c r="E254" s="14">
        <v>85</v>
      </c>
      <c r="F254" s="2">
        <v>10</v>
      </c>
      <c r="G254" s="2">
        <v>67</v>
      </c>
      <c r="H254" s="14">
        <v>5025</v>
      </c>
      <c r="I254" s="2" t="s">
        <v>14</v>
      </c>
      <c r="J254" s="2">
        <f t="shared" si="3"/>
        <v>3.3333333333333335</v>
      </c>
    </row>
    <row r="255" spans="1:10" x14ac:dyDescent="0.3">
      <c r="A255" s="2" t="s">
        <v>30</v>
      </c>
      <c r="B255" s="2" t="s">
        <v>10</v>
      </c>
      <c r="C255" s="2" t="s">
        <v>11</v>
      </c>
      <c r="D255" s="14">
        <v>184</v>
      </c>
      <c r="E255" s="14">
        <v>194</v>
      </c>
      <c r="F255" s="2">
        <v>0</v>
      </c>
      <c r="G255" s="2">
        <v>271</v>
      </c>
      <c r="H255" s="14">
        <v>52574</v>
      </c>
      <c r="I255" s="2" t="s">
        <v>14</v>
      </c>
      <c r="J255" s="2">
        <f t="shared" si="3"/>
        <v>5.416666666666667</v>
      </c>
    </row>
    <row r="256" spans="1:10" x14ac:dyDescent="0.3">
      <c r="A256" s="2" t="s">
        <v>28</v>
      </c>
      <c r="B256" s="2" t="s">
        <v>10</v>
      </c>
      <c r="C256" s="2" t="s">
        <v>11</v>
      </c>
      <c r="D256" s="14">
        <v>163</v>
      </c>
      <c r="E256" s="14">
        <v>178</v>
      </c>
      <c r="F256" s="2">
        <v>5</v>
      </c>
      <c r="G256" s="2">
        <v>214</v>
      </c>
      <c r="H256" s="14">
        <v>37022</v>
      </c>
      <c r="I256" s="2" t="s">
        <v>14</v>
      </c>
      <c r="J256" s="2">
        <f t="shared" si="3"/>
        <v>5.9090909090909092</v>
      </c>
    </row>
    <row r="257" spans="1:10" x14ac:dyDescent="0.3">
      <c r="A257" s="2" t="s">
        <v>29</v>
      </c>
      <c r="B257" s="2" t="s">
        <v>19</v>
      </c>
      <c r="C257" s="2" t="s">
        <v>11</v>
      </c>
      <c r="D257" s="14">
        <v>175</v>
      </c>
      <c r="E257" s="14">
        <v>190</v>
      </c>
      <c r="F257" s="2">
        <v>5</v>
      </c>
      <c r="G257" s="2">
        <v>288</v>
      </c>
      <c r="H257" s="14">
        <v>53280</v>
      </c>
      <c r="I257" s="2" t="s">
        <v>14</v>
      </c>
      <c r="J257" s="2">
        <f t="shared" si="3"/>
        <v>5</v>
      </c>
    </row>
    <row r="258" spans="1:10" x14ac:dyDescent="0.3">
      <c r="A258" s="2" t="s">
        <v>29</v>
      </c>
      <c r="B258" s="2" t="s">
        <v>19</v>
      </c>
      <c r="C258" s="2" t="s">
        <v>21</v>
      </c>
      <c r="D258" s="14">
        <v>72</v>
      </c>
      <c r="E258" s="14">
        <v>82</v>
      </c>
      <c r="F258" s="2">
        <v>0</v>
      </c>
      <c r="G258" s="2">
        <v>105</v>
      </c>
      <c r="H258" s="14">
        <v>8610</v>
      </c>
      <c r="I258" s="2" t="s">
        <v>12</v>
      </c>
      <c r="J258" s="2">
        <f t="shared" si="3"/>
        <v>5</v>
      </c>
    </row>
    <row r="259" spans="1:10" x14ac:dyDescent="0.3">
      <c r="A259" s="2" t="s">
        <v>26</v>
      </c>
      <c r="B259" s="2" t="s">
        <v>27</v>
      </c>
      <c r="C259" s="2" t="s">
        <v>24</v>
      </c>
      <c r="D259" s="14">
        <v>160</v>
      </c>
      <c r="E259" s="14">
        <v>165</v>
      </c>
      <c r="F259" s="2">
        <v>0</v>
      </c>
      <c r="G259" s="2">
        <v>157</v>
      </c>
      <c r="H259" s="14">
        <v>25905</v>
      </c>
      <c r="I259" s="2" t="s">
        <v>12</v>
      </c>
      <c r="J259" s="2">
        <f t="shared" ref="J259:J301" si="4">AVERAGEIF(B259:B558, B259, F259:F558)</f>
        <v>2.5</v>
      </c>
    </row>
    <row r="260" spans="1:10" x14ac:dyDescent="0.3">
      <c r="A260" s="2" t="s">
        <v>15</v>
      </c>
      <c r="B260" s="2" t="s">
        <v>16</v>
      </c>
      <c r="C260" s="2" t="s">
        <v>24</v>
      </c>
      <c r="D260" s="14">
        <v>132</v>
      </c>
      <c r="E260" s="14">
        <v>142</v>
      </c>
      <c r="F260" s="2">
        <v>5</v>
      </c>
      <c r="G260" s="2">
        <v>225</v>
      </c>
      <c r="H260" s="14">
        <v>30825</v>
      </c>
      <c r="I260" s="2" t="s">
        <v>12</v>
      </c>
      <c r="J260" s="2">
        <f t="shared" si="4"/>
        <v>5</v>
      </c>
    </row>
    <row r="261" spans="1:10" x14ac:dyDescent="0.3">
      <c r="A261" s="2" t="s">
        <v>31</v>
      </c>
      <c r="B261" s="2" t="s">
        <v>32</v>
      </c>
      <c r="C261" s="2" t="s">
        <v>17</v>
      </c>
      <c r="D261" s="14">
        <v>69</v>
      </c>
      <c r="E261" s="14">
        <v>69</v>
      </c>
      <c r="F261" s="2">
        <v>10</v>
      </c>
      <c r="G261" s="2">
        <v>243</v>
      </c>
      <c r="H261" s="14">
        <v>14337</v>
      </c>
      <c r="I261" s="2" t="s">
        <v>14</v>
      </c>
      <c r="J261" s="2">
        <f t="shared" si="4"/>
        <v>6.875</v>
      </c>
    </row>
    <row r="262" spans="1:10" x14ac:dyDescent="0.3">
      <c r="A262" s="2" t="s">
        <v>31</v>
      </c>
      <c r="B262" s="2" t="s">
        <v>32</v>
      </c>
      <c r="C262" s="2" t="s">
        <v>11</v>
      </c>
      <c r="D262" s="14">
        <v>75</v>
      </c>
      <c r="E262" s="14">
        <v>80</v>
      </c>
      <c r="F262" s="2">
        <v>10</v>
      </c>
      <c r="G262" s="2">
        <v>107</v>
      </c>
      <c r="H262" s="14">
        <v>7490</v>
      </c>
      <c r="I262" s="2" t="s">
        <v>12</v>
      </c>
      <c r="J262" s="2">
        <f t="shared" si="4"/>
        <v>6.4285714285714288</v>
      </c>
    </row>
    <row r="263" spans="1:10" x14ac:dyDescent="0.3">
      <c r="A263" s="2" t="s">
        <v>29</v>
      </c>
      <c r="B263" s="2" t="s">
        <v>19</v>
      </c>
      <c r="C263" s="2" t="s">
        <v>17</v>
      </c>
      <c r="D263" s="14">
        <v>180</v>
      </c>
      <c r="E263" s="14">
        <v>185</v>
      </c>
      <c r="F263" s="2">
        <v>10</v>
      </c>
      <c r="G263" s="2">
        <v>226</v>
      </c>
      <c r="H263" s="14">
        <v>39550</v>
      </c>
      <c r="I263" s="2" t="s">
        <v>14</v>
      </c>
      <c r="J263" s="2">
        <f t="shared" si="4"/>
        <v>6.666666666666667</v>
      </c>
    </row>
    <row r="264" spans="1:10" x14ac:dyDescent="0.3">
      <c r="A264" s="2" t="s">
        <v>15</v>
      </c>
      <c r="B264" s="2" t="s">
        <v>16</v>
      </c>
      <c r="C264" s="2" t="s">
        <v>17</v>
      </c>
      <c r="D264" s="14">
        <v>147</v>
      </c>
      <c r="E264" s="14">
        <v>152</v>
      </c>
      <c r="F264" s="2">
        <v>5</v>
      </c>
      <c r="G264" s="2">
        <v>105</v>
      </c>
      <c r="H264" s="14">
        <v>15435</v>
      </c>
      <c r="I264" s="2" t="s">
        <v>14</v>
      </c>
      <c r="J264" s="2">
        <f t="shared" si="4"/>
        <v>5</v>
      </c>
    </row>
    <row r="265" spans="1:10" x14ac:dyDescent="0.3">
      <c r="A265" s="2" t="s">
        <v>18</v>
      </c>
      <c r="B265" s="2" t="s">
        <v>19</v>
      </c>
      <c r="C265" s="2" t="s">
        <v>21</v>
      </c>
      <c r="D265" s="14">
        <v>59</v>
      </c>
      <c r="E265" s="14">
        <v>64</v>
      </c>
      <c r="F265" s="2">
        <v>10</v>
      </c>
      <c r="G265" s="2">
        <v>229</v>
      </c>
      <c r="H265" s="14">
        <v>12366</v>
      </c>
      <c r="I265" s="2" t="s">
        <v>12</v>
      </c>
      <c r="J265" s="2">
        <f t="shared" si="4"/>
        <v>5</v>
      </c>
    </row>
    <row r="266" spans="1:10" x14ac:dyDescent="0.3">
      <c r="A266" s="2" t="s">
        <v>20</v>
      </c>
      <c r="B266" s="2" t="s">
        <v>16</v>
      </c>
      <c r="C266" s="2" t="s">
        <v>24</v>
      </c>
      <c r="D266" s="14">
        <v>113</v>
      </c>
      <c r="E266" s="14">
        <v>128</v>
      </c>
      <c r="F266" s="2">
        <v>5</v>
      </c>
      <c r="G266" s="2">
        <v>90</v>
      </c>
      <c r="H266" s="14">
        <v>11070</v>
      </c>
      <c r="I266" s="2" t="s">
        <v>14</v>
      </c>
      <c r="J266" s="2">
        <f t="shared" si="4"/>
        <v>5</v>
      </c>
    </row>
    <row r="267" spans="1:10" x14ac:dyDescent="0.3">
      <c r="A267" s="2" t="s">
        <v>26</v>
      </c>
      <c r="B267" s="2" t="s">
        <v>27</v>
      </c>
      <c r="C267" s="2" t="s">
        <v>13</v>
      </c>
      <c r="D267" s="14">
        <v>40</v>
      </c>
      <c r="E267" s="14">
        <v>50</v>
      </c>
      <c r="F267" s="2">
        <v>5</v>
      </c>
      <c r="G267" s="2">
        <v>104</v>
      </c>
      <c r="H267" s="14">
        <v>4680</v>
      </c>
      <c r="I267" s="2" t="s">
        <v>12</v>
      </c>
      <c r="J267" s="2">
        <f t="shared" si="4"/>
        <v>2.8571428571428572</v>
      </c>
    </row>
    <row r="268" spans="1:10" x14ac:dyDescent="0.3">
      <c r="A268" s="2" t="s">
        <v>30</v>
      </c>
      <c r="B268" s="2" t="s">
        <v>10</v>
      </c>
      <c r="C268" s="2" t="s">
        <v>24</v>
      </c>
      <c r="D268" s="14">
        <v>75</v>
      </c>
      <c r="E268" s="14">
        <v>80</v>
      </c>
      <c r="F268" s="2">
        <v>10</v>
      </c>
      <c r="G268" s="2">
        <v>108</v>
      </c>
      <c r="H268" s="14">
        <v>7560</v>
      </c>
      <c r="I268" s="2" t="s">
        <v>12</v>
      </c>
      <c r="J268" s="2">
        <f t="shared" si="4"/>
        <v>6</v>
      </c>
    </row>
    <row r="269" spans="1:10" x14ac:dyDescent="0.3">
      <c r="A269" s="2" t="s">
        <v>26</v>
      </c>
      <c r="B269" s="2" t="s">
        <v>27</v>
      </c>
      <c r="C269" s="2" t="s">
        <v>17</v>
      </c>
      <c r="D269" s="14">
        <v>26</v>
      </c>
      <c r="E269" s="14">
        <v>36</v>
      </c>
      <c r="F269" s="2">
        <v>0</v>
      </c>
      <c r="G269" s="2">
        <v>184</v>
      </c>
      <c r="H269" s="14">
        <v>6624</v>
      </c>
      <c r="I269" s="2" t="s">
        <v>12</v>
      </c>
      <c r="J269" s="2">
        <f t="shared" si="4"/>
        <v>2.5</v>
      </c>
    </row>
    <row r="270" spans="1:10" x14ac:dyDescent="0.3">
      <c r="A270" s="2" t="s">
        <v>20</v>
      </c>
      <c r="B270" s="2" t="s">
        <v>16</v>
      </c>
      <c r="C270" s="2" t="s">
        <v>17</v>
      </c>
      <c r="D270" s="14">
        <v>51</v>
      </c>
      <c r="E270" s="14">
        <v>61</v>
      </c>
      <c r="F270" s="2">
        <v>10</v>
      </c>
      <c r="G270" s="2">
        <v>161</v>
      </c>
      <c r="H270" s="14">
        <v>8211</v>
      </c>
      <c r="I270" s="2" t="s">
        <v>12</v>
      </c>
      <c r="J270" s="2">
        <f t="shared" si="4"/>
        <v>5</v>
      </c>
    </row>
    <row r="271" spans="1:10" x14ac:dyDescent="0.3">
      <c r="A271" s="2" t="s">
        <v>30</v>
      </c>
      <c r="B271" s="2" t="s">
        <v>10</v>
      </c>
      <c r="C271" s="2" t="s">
        <v>24</v>
      </c>
      <c r="D271" s="14">
        <v>101</v>
      </c>
      <c r="E271" s="14">
        <v>111</v>
      </c>
      <c r="F271" s="2">
        <v>0</v>
      </c>
      <c r="G271" s="2">
        <v>85</v>
      </c>
      <c r="H271" s="14">
        <v>9435</v>
      </c>
      <c r="I271" s="2" t="s">
        <v>14</v>
      </c>
      <c r="J271" s="2">
        <f t="shared" si="4"/>
        <v>5.5555555555555554</v>
      </c>
    </row>
    <row r="272" spans="1:10" x14ac:dyDescent="0.3">
      <c r="A272" s="2" t="s">
        <v>31</v>
      </c>
      <c r="B272" s="2" t="s">
        <v>32</v>
      </c>
      <c r="C272" s="2" t="s">
        <v>17</v>
      </c>
      <c r="D272" s="14">
        <v>175</v>
      </c>
      <c r="E272" s="14">
        <v>190</v>
      </c>
      <c r="F272" s="2">
        <v>5</v>
      </c>
      <c r="G272" s="2">
        <v>80</v>
      </c>
      <c r="H272" s="14">
        <v>14800</v>
      </c>
      <c r="I272" s="2" t="s">
        <v>12</v>
      </c>
      <c r="J272" s="2">
        <f t="shared" si="4"/>
        <v>5.833333333333333</v>
      </c>
    </row>
    <row r="273" spans="1:10" x14ac:dyDescent="0.3">
      <c r="A273" s="2" t="s">
        <v>31</v>
      </c>
      <c r="B273" s="2" t="s">
        <v>32</v>
      </c>
      <c r="C273" s="2" t="s">
        <v>13</v>
      </c>
      <c r="D273" s="14">
        <v>21</v>
      </c>
      <c r="E273" s="14">
        <v>21</v>
      </c>
      <c r="F273" s="2">
        <v>5</v>
      </c>
      <c r="G273" s="2">
        <v>87</v>
      </c>
      <c r="H273" s="14">
        <v>1392</v>
      </c>
      <c r="I273" s="2" t="s">
        <v>12</v>
      </c>
      <c r="J273" s="2">
        <f t="shared" si="4"/>
        <v>6</v>
      </c>
    </row>
    <row r="274" spans="1:10" x14ac:dyDescent="0.3">
      <c r="A274" s="2" t="s">
        <v>26</v>
      </c>
      <c r="B274" s="2" t="s">
        <v>27</v>
      </c>
      <c r="C274" s="2" t="s">
        <v>11</v>
      </c>
      <c r="D274" s="14">
        <v>117</v>
      </c>
      <c r="E274" s="14">
        <v>132</v>
      </c>
      <c r="F274" s="2">
        <v>0</v>
      </c>
      <c r="G274" s="2">
        <v>129</v>
      </c>
      <c r="H274" s="14">
        <v>17028</v>
      </c>
      <c r="I274" s="2" t="s">
        <v>12</v>
      </c>
      <c r="J274" s="2">
        <f t="shared" si="4"/>
        <v>3</v>
      </c>
    </row>
    <row r="275" spans="1:10" x14ac:dyDescent="0.3">
      <c r="A275" s="2" t="s">
        <v>20</v>
      </c>
      <c r="B275" s="2" t="s">
        <v>16</v>
      </c>
      <c r="C275" s="2" t="s">
        <v>13</v>
      </c>
      <c r="D275" s="14">
        <v>70</v>
      </c>
      <c r="E275" s="14">
        <v>75</v>
      </c>
      <c r="F275" s="2">
        <v>0</v>
      </c>
      <c r="G275" s="2">
        <v>270</v>
      </c>
      <c r="H275" s="14">
        <v>20250</v>
      </c>
      <c r="I275" s="2" t="s">
        <v>12</v>
      </c>
      <c r="J275" s="2">
        <f t="shared" si="4"/>
        <v>4.166666666666667</v>
      </c>
    </row>
    <row r="276" spans="1:10" x14ac:dyDescent="0.3">
      <c r="A276" s="2" t="s">
        <v>15</v>
      </c>
      <c r="B276" s="2" t="s">
        <v>16</v>
      </c>
      <c r="C276" s="2" t="s">
        <v>24</v>
      </c>
      <c r="D276" s="14">
        <v>107</v>
      </c>
      <c r="E276" s="14">
        <v>107</v>
      </c>
      <c r="F276" s="2">
        <v>10</v>
      </c>
      <c r="G276" s="2">
        <v>193</v>
      </c>
      <c r="H276" s="14">
        <v>18721</v>
      </c>
      <c r="I276" s="2" t="s">
        <v>14</v>
      </c>
      <c r="J276" s="2">
        <f t="shared" si="4"/>
        <v>5</v>
      </c>
    </row>
    <row r="277" spans="1:10" x14ac:dyDescent="0.3">
      <c r="A277" s="2" t="s">
        <v>26</v>
      </c>
      <c r="B277" s="2" t="s">
        <v>27</v>
      </c>
      <c r="C277" s="2" t="s">
        <v>13</v>
      </c>
      <c r="D277" s="14">
        <v>198</v>
      </c>
      <c r="E277" s="14">
        <v>213</v>
      </c>
      <c r="F277" s="2">
        <v>5</v>
      </c>
      <c r="G277" s="2">
        <v>136</v>
      </c>
      <c r="H277" s="14">
        <v>28288</v>
      </c>
      <c r="I277" s="2" t="s">
        <v>12</v>
      </c>
      <c r="J277" s="2">
        <f t="shared" si="4"/>
        <v>3.75</v>
      </c>
    </row>
    <row r="278" spans="1:10" x14ac:dyDescent="0.3">
      <c r="A278" s="2" t="s">
        <v>30</v>
      </c>
      <c r="B278" s="2" t="s">
        <v>10</v>
      </c>
      <c r="C278" s="2" t="s">
        <v>13</v>
      </c>
      <c r="D278" s="14">
        <v>161</v>
      </c>
      <c r="E278" s="14">
        <v>161</v>
      </c>
      <c r="F278" s="2">
        <v>0</v>
      </c>
      <c r="G278" s="2">
        <v>188</v>
      </c>
      <c r="H278" s="14">
        <v>30268</v>
      </c>
      <c r="I278" s="2" t="s">
        <v>12</v>
      </c>
      <c r="J278" s="2">
        <f t="shared" si="4"/>
        <v>6.25</v>
      </c>
    </row>
    <row r="279" spans="1:10" x14ac:dyDescent="0.3">
      <c r="A279" s="2" t="s">
        <v>31</v>
      </c>
      <c r="B279" s="2" t="s">
        <v>32</v>
      </c>
      <c r="C279" s="2" t="s">
        <v>17</v>
      </c>
      <c r="D279" s="14">
        <v>137</v>
      </c>
      <c r="E279" s="14">
        <v>147</v>
      </c>
      <c r="F279" s="2">
        <v>5</v>
      </c>
      <c r="G279" s="2">
        <v>211</v>
      </c>
      <c r="H279" s="14">
        <v>29962</v>
      </c>
      <c r="I279" s="2" t="s">
        <v>12</v>
      </c>
      <c r="J279" s="2">
        <f t="shared" si="4"/>
        <v>6.25</v>
      </c>
    </row>
    <row r="280" spans="1:10" x14ac:dyDescent="0.3">
      <c r="A280" s="2" t="s">
        <v>26</v>
      </c>
      <c r="B280" s="2" t="s">
        <v>27</v>
      </c>
      <c r="C280" s="2" t="s">
        <v>17</v>
      </c>
      <c r="D280" s="14">
        <v>45</v>
      </c>
      <c r="E280" s="14">
        <v>55</v>
      </c>
      <c r="F280" s="2">
        <v>10</v>
      </c>
      <c r="G280" s="2">
        <v>84</v>
      </c>
      <c r="H280" s="14">
        <v>3780</v>
      </c>
      <c r="I280" s="2" t="s">
        <v>14</v>
      </c>
      <c r="J280" s="2">
        <f t="shared" si="4"/>
        <v>3.3333333333333335</v>
      </c>
    </row>
    <row r="281" spans="1:10" x14ac:dyDescent="0.3">
      <c r="A281" s="2" t="s">
        <v>31</v>
      </c>
      <c r="B281" s="2" t="s">
        <v>32</v>
      </c>
      <c r="C281" s="2" t="s">
        <v>24</v>
      </c>
      <c r="D281" s="14">
        <v>191</v>
      </c>
      <c r="E281" s="14">
        <v>206</v>
      </c>
      <c r="F281" s="2">
        <v>10</v>
      </c>
      <c r="G281" s="2">
        <v>297</v>
      </c>
      <c r="H281" s="14">
        <v>58212</v>
      </c>
      <c r="I281" s="2" t="s">
        <v>12</v>
      </c>
      <c r="J281" s="2">
        <f t="shared" si="4"/>
        <v>6.666666666666667</v>
      </c>
    </row>
    <row r="282" spans="1:10" x14ac:dyDescent="0.3">
      <c r="A282" s="2" t="s">
        <v>26</v>
      </c>
      <c r="B282" s="2" t="s">
        <v>27</v>
      </c>
      <c r="C282" s="2" t="s">
        <v>13</v>
      </c>
      <c r="D282" s="14">
        <v>125</v>
      </c>
      <c r="E282" s="14">
        <v>130</v>
      </c>
      <c r="F282" s="2">
        <v>0</v>
      </c>
      <c r="G282" s="2">
        <v>214</v>
      </c>
      <c r="H282" s="14">
        <v>27820</v>
      </c>
      <c r="I282" s="2" t="s">
        <v>12</v>
      </c>
      <c r="J282" s="2">
        <f t="shared" si="4"/>
        <v>0</v>
      </c>
    </row>
    <row r="283" spans="1:10" x14ac:dyDescent="0.3">
      <c r="A283" s="2" t="s">
        <v>22</v>
      </c>
      <c r="B283" s="2" t="s">
        <v>23</v>
      </c>
      <c r="C283" s="2" t="s">
        <v>21</v>
      </c>
      <c r="D283" s="14">
        <v>171</v>
      </c>
      <c r="E283" s="14">
        <v>186</v>
      </c>
      <c r="F283" s="2">
        <v>5</v>
      </c>
      <c r="G283" s="2">
        <v>60</v>
      </c>
      <c r="H283" s="14">
        <v>10860</v>
      </c>
      <c r="I283" s="2" t="s">
        <v>12</v>
      </c>
      <c r="J283" s="2">
        <f t="shared" si="4"/>
        <v>5</v>
      </c>
    </row>
    <row r="284" spans="1:10" x14ac:dyDescent="0.3">
      <c r="A284" s="2" t="s">
        <v>15</v>
      </c>
      <c r="B284" s="2" t="s">
        <v>16</v>
      </c>
      <c r="C284" s="2" t="s">
        <v>13</v>
      </c>
      <c r="D284" s="14">
        <v>57</v>
      </c>
      <c r="E284" s="14">
        <v>72</v>
      </c>
      <c r="F284" s="2">
        <v>5</v>
      </c>
      <c r="G284" s="2">
        <v>196</v>
      </c>
      <c r="H284" s="14">
        <v>13132</v>
      </c>
      <c r="I284" s="2" t="s">
        <v>14</v>
      </c>
      <c r="J284" s="2">
        <f t="shared" si="4"/>
        <v>3.75</v>
      </c>
    </row>
    <row r="285" spans="1:10" x14ac:dyDescent="0.3">
      <c r="A285" s="2" t="s">
        <v>30</v>
      </c>
      <c r="B285" s="2" t="s">
        <v>10</v>
      </c>
      <c r="C285" s="2" t="s">
        <v>13</v>
      </c>
      <c r="D285" s="14">
        <v>56</v>
      </c>
      <c r="E285" s="14">
        <v>56</v>
      </c>
      <c r="F285" s="2">
        <v>10</v>
      </c>
      <c r="G285" s="2">
        <v>251</v>
      </c>
      <c r="H285" s="14">
        <v>11546</v>
      </c>
      <c r="I285" s="2" t="s">
        <v>12</v>
      </c>
      <c r="J285" s="2">
        <f t="shared" si="4"/>
        <v>7.1428571428571432</v>
      </c>
    </row>
    <row r="286" spans="1:10" x14ac:dyDescent="0.3">
      <c r="A286" s="2" t="s">
        <v>20</v>
      </c>
      <c r="B286" s="2" t="s">
        <v>16</v>
      </c>
      <c r="C286" s="2" t="s">
        <v>24</v>
      </c>
      <c r="D286" s="14">
        <v>70</v>
      </c>
      <c r="E286" s="14">
        <v>70</v>
      </c>
      <c r="F286" s="2">
        <v>0</v>
      </c>
      <c r="G286" s="2">
        <v>218</v>
      </c>
      <c r="H286" s="14">
        <v>15260</v>
      </c>
      <c r="I286" s="2" t="s">
        <v>12</v>
      </c>
      <c r="J286" s="2">
        <f t="shared" si="4"/>
        <v>3.3333333333333335</v>
      </c>
    </row>
    <row r="287" spans="1:10" x14ac:dyDescent="0.3">
      <c r="A287" s="2" t="s">
        <v>20</v>
      </c>
      <c r="B287" s="2" t="s">
        <v>16</v>
      </c>
      <c r="C287" s="2" t="s">
        <v>25</v>
      </c>
      <c r="D287" s="14">
        <v>57</v>
      </c>
      <c r="E287" s="14">
        <v>67</v>
      </c>
      <c r="F287" s="2">
        <v>0</v>
      </c>
      <c r="G287" s="2">
        <v>131</v>
      </c>
      <c r="H287" s="14">
        <v>8777</v>
      </c>
      <c r="I287" s="2" t="s">
        <v>14</v>
      </c>
      <c r="J287" s="2">
        <f t="shared" si="4"/>
        <v>5</v>
      </c>
    </row>
    <row r="288" spans="1:10" x14ac:dyDescent="0.3">
      <c r="A288" s="2" t="s">
        <v>30</v>
      </c>
      <c r="B288" s="2" t="s">
        <v>10</v>
      </c>
      <c r="C288" s="2" t="s">
        <v>17</v>
      </c>
      <c r="D288" s="14">
        <v>104</v>
      </c>
      <c r="E288" s="14">
        <v>114</v>
      </c>
      <c r="F288" s="2">
        <v>5</v>
      </c>
      <c r="G288" s="2">
        <v>255</v>
      </c>
      <c r="H288" s="14">
        <v>27795</v>
      </c>
      <c r="I288" s="2" t="s">
        <v>12</v>
      </c>
      <c r="J288" s="2">
        <f t="shared" si="4"/>
        <v>6.666666666666667</v>
      </c>
    </row>
    <row r="289" spans="1:10" x14ac:dyDescent="0.3">
      <c r="A289" s="2" t="s">
        <v>29</v>
      </c>
      <c r="B289" s="2" t="s">
        <v>19</v>
      </c>
      <c r="C289" s="2" t="s">
        <v>11</v>
      </c>
      <c r="D289" s="14">
        <v>82</v>
      </c>
      <c r="E289" s="14">
        <v>87</v>
      </c>
      <c r="F289" s="2">
        <v>0</v>
      </c>
      <c r="G289" s="2">
        <v>180</v>
      </c>
      <c r="H289" s="14">
        <v>15660</v>
      </c>
      <c r="I289" s="2" t="s">
        <v>12</v>
      </c>
      <c r="J289" s="2">
        <f t="shared" si="4"/>
        <v>0</v>
      </c>
    </row>
    <row r="290" spans="1:10" x14ac:dyDescent="0.3">
      <c r="A290" s="2" t="s">
        <v>15</v>
      </c>
      <c r="B290" s="2" t="s">
        <v>16</v>
      </c>
      <c r="C290" s="2" t="s">
        <v>11</v>
      </c>
      <c r="D290" s="14">
        <v>119</v>
      </c>
      <c r="E290" s="14">
        <v>129</v>
      </c>
      <c r="F290" s="2">
        <v>10</v>
      </c>
      <c r="G290" s="2">
        <v>164</v>
      </c>
      <c r="H290" s="14">
        <v>19516</v>
      </c>
      <c r="I290" s="2" t="s">
        <v>12</v>
      </c>
      <c r="J290" s="2">
        <f t="shared" si="4"/>
        <v>10</v>
      </c>
    </row>
    <row r="291" spans="1:10" x14ac:dyDescent="0.3">
      <c r="A291" s="2" t="s">
        <v>30</v>
      </c>
      <c r="B291" s="2" t="s">
        <v>10</v>
      </c>
      <c r="C291" s="2" t="s">
        <v>11</v>
      </c>
      <c r="D291" s="14">
        <v>48</v>
      </c>
      <c r="E291" s="14">
        <v>58</v>
      </c>
      <c r="F291" s="2">
        <v>10</v>
      </c>
      <c r="G291" s="2">
        <v>244</v>
      </c>
      <c r="H291" s="14">
        <v>11712</v>
      </c>
      <c r="I291" s="2" t="s">
        <v>12</v>
      </c>
      <c r="J291" s="2">
        <f t="shared" si="4"/>
        <v>7</v>
      </c>
    </row>
    <row r="292" spans="1:10" x14ac:dyDescent="0.3">
      <c r="A292" s="2" t="s">
        <v>22</v>
      </c>
      <c r="B292" s="2" t="s">
        <v>23</v>
      </c>
      <c r="C292" s="2" t="s">
        <v>25</v>
      </c>
      <c r="D292" s="14">
        <v>88</v>
      </c>
      <c r="E292" s="14">
        <v>93</v>
      </c>
      <c r="F292" s="2">
        <v>5</v>
      </c>
      <c r="G292" s="2">
        <v>72</v>
      </c>
      <c r="H292" s="14">
        <v>6336</v>
      </c>
      <c r="I292" s="2" t="s">
        <v>14</v>
      </c>
      <c r="J292" s="2">
        <f t="shared" si="4"/>
        <v>5</v>
      </c>
    </row>
    <row r="293" spans="1:10" x14ac:dyDescent="0.3">
      <c r="A293" s="2" t="s">
        <v>31</v>
      </c>
      <c r="B293" s="2" t="s">
        <v>32</v>
      </c>
      <c r="C293" s="2" t="s">
        <v>13</v>
      </c>
      <c r="D293" s="14">
        <v>32</v>
      </c>
      <c r="E293" s="14">
        <v>32</v>
      </c>
      <c r="F293" s="2">
        <v>0</v>
      </c>
      <c r="G293" s="2">
        <v>67</v>
      </c>
      <c r="H293" s="14">
        <v>2144</v>
      </c>
      <c r="I293" s="2" t="s">
        <v>12</v>
      </c>
      <c r="J293" s="2">
        <f t="shared" si="4"/>
        <v>5</v>
      </c>
    </row>
    <row r="294" spans="1:10" x14ac:dyDescent="0.3">
      <c r="A294" s="2" t="s">
        <v>31</v>
      </c>
      <c r="B294" s="2" t="s">
        <v>32</v>
      </c>
      <c r="C294" s="2" t="s">
        <v>25</v>
      </c>
      <c r="D294" s="14">
        <v>31</v>
      </c>
      <c r="E294" s="14">
        <v>46</v>
      </c>
      <c r="F294" s="2">
        <v>10</v>
      </c>
      <c r="G294" s="2">
        <v>161</v>
      </c>
      <c r="H294" s="14">
        <v>5796</v>
      </c>
      <c r="I294" s="2" t="s">
        <v>12</v>
      </c>
      <c r="J294" s="2">
        <f t="shared" si="4"/>
        <v>10</v>
      </c>
    </row>
    <row r="295" spans="1:10" x14ac:dyDescent="0.3">
      <c r="A295" s="2" t="s">
        <v>26</v>
      </c>
      <c r="B295" s="2" t="s">
        <v>27</v>
      </c>
      <c r="C295" s="2" t="s">
        <v>13</v>
      </c>
      <c r="D295" s="14">
        <v>125</v>
      </c>
      <c r="E295" s="14">
        <v>140</v>
      </c>
      <c r="F295" s="2">
        <v>0</v>
      </c>
      <c r="G295" s="2">
        <v>283</v>
      </c>
      <c r="H295" s="14">
        <v>39620</v>
      </c>
      <c r="I295" s="2" t="s">
        <v>14</v>
      </c>
      <c r="J295" s="2">
        <f t="shared" si="4"/>
        <v>0</v>
      </c>
    </row>
    <row r="296" spans="1:10" x14ac:dyDescent="0.3">
      <c r="A296" s="2" t="s">
        <v>30</v>
      </c>
      <c r="B296" s="2" t="s">
        <v>10</v>
      </c>
      <c r="C296" s="2" t="s">
        <v>24</v>
      </c>
      <c r="D296" s="14">
        <v>134</v>
      </c>
      <c r="E296" s="14">
        <v>144</v>
      </c>
      <c r="F296" s="2">
        <v>0</v>
      </c>
      <c r="G296" s="2">
        <v>190</v>
      </c>
      <c r="H296" s="14">
        <v>27360</v>
      </c>
      <c r="I296" s="2" t="s">
        <v>14</v>
      </c>
      <c r="J296" s="2">
        <f t="shared" si="4"/>
        <v>6.25</v>
      </c>
    </row>
    <row r="297" spans="1:10" x14ac:dyDescent="0.3">
      <c r="A297" s="2" t="s">
        <v>9</v>
      </c>
      <c r="B297" s="2" t="s">
        <v>10</v>
      </c>
      <c r="C297" s="2" t="s">
        <v>13</v>
      </c>
      <c r="D297" s="14">
        <v>198</v>
      </c>
      <c r="E297" s="14">
        <v>198</v>
      </c>
      <c r="F297" s="2">
        <v>5</v>
      </c>
      <c r="G297" s="2">
        <v>52</v>
      </c>
      <c r="H297" s="14">
        <v>10036</v>
      </c>
      <c r="I297" s="2" t="s">
        <v>14</v>
      </c>
      <c r="J297" s="2">
        <f t="shared" si="4"/>
        <v>8.3333333333333339</v>
      </c>
    </row>
    <row r="298" spans="1:10" x14ac:dyDescent="0.3">
      <c r="A298" s="2" t="s">
        <v>22</v>
      </c>
      <c r="B298" s="2" t="s">
        <v>23</v>
      </c>
      <c r="C298" s="2" t="s">
        <v>17</v>
      </c>
      <c r="D298" s="14">
        <v>131</v>
      </c>
      <c r="E298" s="14">
        <v>146</v>
      </c>
      <c r="F298" s="2">
        <v>10</v>
      </c>
      <c r="G298" s="2">
        <v>146</v>
      </c>
      <c r="H298" s="14">
        <v>19856</v>
      </c>
      <c r="I298" s="2" t="s">
        <v>12</v>
      </c>
      <c r="J298" s="2">
        <f t="shared" si="4"/>
        <v>5</v>
      </c>
    </row>
    <row r="299" spans="1:10" x14ac:dyDescent="0.3">
      <c r="A299" s="2" t="s">
        <v>28</v>
      </c>
      <c r="B299" s="2" t="s">
        <v>10</v>
      </c>
      <c r="C299" s="2" t="s">
        <v>11</v>
      </c>
      <c r="D299" s="14">
        <v>171</v>
      </c>
      <c r="E299" s="14">
        <v>176</v>
      </c>
      <c r="F299" s="2">
        <v>10</v>
      </c>
      <c r="G299" s="2">
        <v>291</v>
      </c>
      <c r="H299" s="14">
        <v>48306</v>
      </c>
      <c r="I299" s="2" t="s">
        <v>12</v>
      </c>
      <c r="J299" s="2">
        <f t="shared" si="4"/>
        <v>10</v>
      </c>
    </row>
    <row r="300" spans="1:10" x14ac:dyDescent="0.3">
      <c r="A300" s="2" t="s">
        <v>22</v>
      </c>
      <c r="B300" s="2" t="s">
        <v>23</v>
      </c>
      <c r="C300" s="2" t="s">
        <v>25</v>
      </c>
      <c r="D300" s="14">
        <v>94</v>
      </c>
      <c r="E300" s="14">
        <v>99</v>
      </c>
      <c r="F300" s="2">
        <v>0</v>
      </c>
      <c r="G300" s="2">
        <v>124</v>
      </c>
      <c r="H300" s="14">
        <v>12276</v>
      </c>
      <c r="I300" s="2" t="s">
        <v>12</v>
      </c>
      <c r="J300" s="2">
        <f t="shared" si="4"/>
        <v>0</v>
      </c>
    </row>
    <row r="301" spans="1:10" x14ac:dyDescent="0.3">
      <c r="A301" s="2" t="s">
        <v>30</v>
      </c>
      <c r="B301" s="2" t="s">
        <v>10</v>
      </c>
      <c r="C301" s="2" t="s">
        <v>21</v>
      </c>
      <c r="D301" s="14">
        <v>129</v>
      </c>
      <c r="E301" s="14">
        <v>129</v>
      </c>
      <c r="F301" s="2">
        <v>10</v>
      </c>
      <c r="G301" s="2">
        <v>272</v>
      </c>
      <c r="H301" s="14">
        <v>32368</v>
      </c>
      <c r="I301" s="2" t="s">
        <v>12</v>
      </c>
      <c r="J301" s="2">
        <f t="shared" si="4"/>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9F88-FB28-41CF-B561-0258DADACE95}">
  <dimension ref="A1:J301"/>
  <sheetViews>
    <sheetView workbookViewId="0">
      <selection activeCell="L289" sqref="L289"/>
    </sheetView>
  </sheetViews>
  <sheetFormatPr defaultRowHeight="14.4" x14ac:dyDescent="0.3"/>
  <cols>
    <col min="1" max="1" width="15" customWidth="1"/>
    <col min="2" max="2" width="10.44140625" customWidth="1"/>
    <col min="4" max="4" width="13.88671875" customWidth="1"/>
    <col min="5" max="5" width="13.77734375" customWidth="1"/>
    <col min="6" max="6" width="10.21875" customWidth="1"/>
    <col min="8" max="8" width="14.88671875" customWidth="1"/>
    <col min="9" max="9" width="17.109375" customWidth="1"/>
    <col min="10" max="10" width="19.77734375" customWidth="1"/>
  </cols>
  <sheetData>
    <row r="1" spans="1:10" x14ac:dyDescent="0.3">
      <c r="A1" s="5" t="s">
        <v>0</v>
      </c>
      <c r="B1" s="6" t="s">
        <v>1</v>
      </c>
      <c r="C1" s="6" t="s">
        <v>2</v>
      </c>
      <c r="D1" s="16" t="s">
        <v>3</v>
      </c>
      <c r="E1" s="16" t="s">
        <v>4</v>
      </c>
      <c r="F1" s="6" t="s">
        <v>5</v>
      </c>
      <c r="G1" s="6" t="s">
        <v>6</v>
      </c>
      <c r="H1" s="16" t="s">
        <v>7</v>
      </c>
      <c r="I1" s="6" t="s">
        <v>8</v>
      </c>
      <c r="J1" s="7" t="s">
        <v>36</v>
      </c>
    </row>
    <row r="2" spans="1:10" x14ac:dyDescent="0.3">
      <c r="A2" s="3" t="s">
        <v>9</v>
      </c>
      <c r="B2" s="2" t="s">
        <v>10</v>
      </c>
      <c r="C2" s="2" t="s">
        <v>11</v>
      </c>
      <c r="D2" s="14">
        <v>148</v>
      </c>
      <c r="E2" s="14">
        <v>163</v>
      </c>
      <c r="F2" s="2">
        <v>5</v>
      </c>
      <c r="G2" s="2">
        <v>283</v>
      </c>
      <c r="H2" s="14">
        <v>44714</v>
      </c>
      <c r="I2" s="2" t="s">
        <v>12</v>
      </c>
      <c r="J2" s="4">
        <f>AVERAGEIF(B2:B301, B2, F2:F301)</f>
        <v>4.8780487804878048</v>
      </c>
    </row>
    <row r="3" spans="1:10" x14ac:dyDescent="0.3">
      <c r="A3" s="3" t="s">
        <v>9</v>
      </c>
      <c r="B3" s="2" t="s">
        <v>10</v>
      </c>
      <c r="C3" s="2" t="s">
        <v>13</v>
      </c>
      <c r="D3" s="14">
        <v>81</v>
      </c>
      <c r="E3" s="14">
        <v>86</v>
      </c>
      <c r="F3" s="2">
        <v>10</v>
      </c>
      <c r="G3" s="2">
        <v>284</v>
      </c>
      <c r="H3" s="14">
        <v>21584</v>
      </c>
      <c r="I3" s="2" t="s">
        <v>14</v>
      </c>
      <c r="J3" s="4">
        <f t="shared" ref="J3:J66" si="0">AVERAGEIF(B3:B302, B3, F3:F302)</f>
        <v>4.8765432098765435</v>
      </c>
    </row>
    <row r="4" spans="1:10" x14ac:dyDescent="0.3">
      <c r="A4" s="3" t="s">
        <v>15</v>
      </c>
      <c r="B4" s="2" t="s">
        <v>16</v>
      </c>
      <c r="C4" s="2" t="s">
        <v>17</v>
      </c>
      <c r="D4" s="14">
        <v>138</v>
      </c>
      <c r="E4" s="14">
        <v>143</v>
      </c>
      <c r="F4" s="2">
        <v>10</v>
      </c>
      <c r="G4" s="2">
        <v>69</v>
      </c>
      <c r="H4" s="14">
        <v>9177</v>
      </c>
      <c r="I4" s="2" t="s">
        <v>12</v>
      </c>
      <c r="J4" s="4">
        <f t="shared" si="0"/>
        <v>4.8214285714285712</v>
      </c>
    </row>
    <row r="5" spans="1:10" x14ac:dyDescent="0.3">
      <c r="A5" s="3" t="s">
        <v>18</v>
      </c>
      <c r="B5" s="2" t="s">
        <v>19</v>
      </c>
      <c r="C5" s="2" t="s">
        <v>11</v>
      </c>
      <c r="D5" s="14">
        <v>127</v>
      </c>
      <c r="E5" s="14">
        <v>127</v>
      </c>
      <c r="F5" s="2">
        <v>10</v>
      </c>
      <c r="G5" s="2">
        <v>83</v>
      </c>
      <c r="H5" s="14">
        <v>9711</v>
      </c>
      <c r="I5" s="2" t="s">
        <v>12</v>
      </c>
      <c r="J5" s="4">
        <f t="shared" si="0"/>
        <v>4.6212121212121211</v>
      </c>
    </row>
    <row r="6" spans="1:10" x14ac:dyDescent="0.3">
      <c r="A6" s="3" t="s">
        <v>20</v>
      </c>
      <c r="B6" s="2" t="s">
        <v>16</v>
      </c>
      <c r="C6" s="2" t="s">
        <v>21</v>
      </c>
      <c r="D6" s="14">
        <v>34</v>
      </c>
      <c r="E6" s="14">
        <v>49</v>
      </c>
      <c r="F6" s="2">
        <v>10</v>
      </c>
      <c r="G6" s="2">
        <v>169</v>
      </c>
      <c r="H6" s="14">
        <v>6591</v>
      </c>
      <c r="I6" s="2" t="s">
        <v>14</v>
      </c>
      <c r="J6" s="4">
        <f t="shared" si="0"/>
        <v>4.7272727272727275</v>
      </c>
    </row>
    <row r="7" spans="1:10" x14ac:dyDescent="0.3">
      <c r="A7" s="3" t="s">
        <v>22</v>
      </c>
      <c r="B7" s="2" t="s">
        <v>23</v>
      </c>
      <c r="C7" s="2" t="s">
        <v>11</v>
      </c>
      <c r="D7" s="14">
        <v>149</v>
      </c>
      <c r="E7" s="14">
        <v>159</v>
      </c>
      <c r="F7" s="2">
        <v>0</v>
      </c>
      <c r="G7" s="2">
        <v>246</v>
      </c>
      <c r="H7" s="14">
        <v>39114</v>
      </c>
      <c r="I7" s="2" t="s">
        <v>12</v>
      </c>
      <c r="J7" s="4">
        <f t="shared" si="0"/>
        <v>5.5357142857142856</v>
      </c>
    </row>
    <row r="8" spans="1:10" x14ac:dyDescent="0.3">
      <c r="A8" s="3" t="s">
        <v>9</v>
      </c>
      <c r="B8" s="2" t="s">
        <v>10</v>
      </c>
      <c r="C8" s="2" t="s">
        <v>24</v>
      </c>
      <c r="D8" s="14">
        <v>82</v>
      </c>
      <c r="E8" s="14">
        <v>87</v>
      </c>
      <c r="F8" s="2">
        <v>0</v>
      </c>
      <c r="G8" s="2">
        <v>254</v>
      </c>
      <c r="H8" s="14">
        <v>22098</v>
      </c>
      <c r="I8" s="2" t="s">
        <v>14</v>
      </c>
      <c r="J8" s="4">
        <f t="shared" si="0"/>
        <v>4.8125</v>
      </c>
    </row>
    <row r="9" spans="1:10" x14ac:dyDescent="0.3">
      <c r="A9" s="3" t="s">
        <v>22</v>
      </c>
      <c r="B9" s="2" t="s">
        <v>23</v>
      </c>
      <c r="C9" s="2" t="s">
        <v>24</v>
      </c>
      <c r="D9" s="14">
        <v>46</v>
      </c>
      <c r="E9" s="14">
        <v>51</v>
      </c>
      <c r="F9" s="2">
        <v>5</v>
      </c>
      <c r="G9" s="2">
        <v>179</v>
      </c>
      <c r="H9" s="14">
        <v>8234</v>
      </c>
      <c r="I9" s="2" t="s">
        <v>12</v>
      </c>
      <c r="J9" s="4">
        <f t="shared" si="0"/>
        <v>5.7407407407407405</v>
      </c>
    </row>
    <row r="10" spans="1:10" x14ac:dyDescent="0.3">
      <c r="A10" s="3" t="s">
        <v>20</v>
      </c>
      <c r="B10" s="2" t="s">
        <v>16</v>
      </c>
      <c r="C10" s="2" t="s">
        <v>25</v>
      </c>
      <c r="D10" s="14">
        <v>137</v>
      </c>
      <c r="E10" s="14">
        <v>137</v>
      </c>
      <c r="F10" s="2">
        <v>10</v>
      </c>
      <c r="G10" s="2">
        <v>268</v>
      </c>
      <c r="H10" s="14">
        <v>34036</v>
      </c>
      <c r="I10" s="2" t="s">
        <v>12</v>
      </c>
      <c r="J10" s="4">
        <f t="shared" si="0"/>
        <v>4.6296296296296298</v>
      </c>
    </row>
    <row r="11" spans="1:10" x14ac:dyDescent="0.3">
      <c r="A11" s="3" t="s">
        <v>26</v>
      </c>
      <c r="B11" s="2" t="s">
        <v>27</v>
      </c>
      <c r="C11" s="2" t="s">
        <v>17</v>
      </c>
      <c r="D11" s="14">
        <v>196</v>
      </c>
      <c r="E11" s="14">
        <v>201</v>
      </c>
      <c r="F11" s="2">
        <v>0</v>
      </c>
      <c r="G11" s="2">
        <v>59</v>
      </c>
      <c r="H11" s="14">
        <v>11859</v>
      </c>
      <c r="I11" s="2" t="s">
        <v>14</v>
      </c>
      <c r="J11" s="4">
        <f t="shared" si="0"/>
        <v>4.583333333333333</v>
      </c>
    </row>
    <row r="12" spans="1:10" x14ac:dyDescent="0.3">
      <c r="A12" s="3" t="s">
        <v>26</v>
      </c>
      <c r="B12" s="2" t="s">
        <v>27</v>
      </c>
      <c r="C12" s="2" t="s">
        <v>17</v>
      </c>
      <c r="D12" s="14">
        <v>109</v>
      </c>
      <c r="E12" s="14">
        <v>114</v>
      </c>
      <c r="F12" s="2">
        <v>0</v>
      </c>
      <c r="G12" s="2">
        <v>241</v>
      </c>
      <c r="H12" s="14">
        <v>27474</v>
      </c>
      <c r="I12" s="2" t="s">
        <v>12</v>
      </c>
      <c r="J12" s="4">
        <f t="shared" si="0"/>
        <v>4.7142857142857144</v>
      </c>
    </row>
    <row r="13" spans="1:10" x14ac:dyDescent="0.3">
      <c r="A13" s="3" t="s">
        <v>26</v>
      </c>
      <c r="B13" s="2" t="s">
        <v>27</v>
      </c>
      <c r="C13" s="2" t="s">
        <v>25</v>
      </c>
      <c r="D13" s="14">
        <v>28</v>
      </c>
      <c r="E13" s="14">
        <v>28</v>
      </c>
      <c r="F13" s="2">
        <v>5</v>
      </c>
      <c r="G13" s="2">
        <v>281</v>
      </c>
      <c r="H13" s="14">
        <v>6463</v>
      </c>
      <c r="I13" s="2" t="s">
        <v>12</v>
      </c>
      <c r="J13" s="4">
        <f t="shared" si="0"/>
        <v>4.8529411764705879</v>
      </c>
    </row>
    <row r="14" spans="1:10" x14ac:dyDescent="0.3">
      <c r="A14" s="3" t="s">
        <v>26</v>
      </c>
      <c r="B14" s="2" t="s">
        <v>27</v>
      </c>
      <c r="C14" s="2" t="s">
        <v>13</v>
      </c>
      <c r="D14" s="14">
        <v>130</v>
      </c>
      <c r="E14" s="14">
        <v>135</v>
      </c>
      <c r="F14" s="2">
        <v>0</v>
      </c>
      <c r="G14" s="2">
        <v>76</v>
      </c>
      <c r="H14" s="14">
        <v>10260</v>
      </c>
      <c r="I14" s="2" t="s">
        <v>12</v>
      </c>
      <c r="J14" s="4">
        <f t="shared" si="0"/>
        <v>4.8484848484848486</v>
      </c>
    </row>
    <row r="15" spans="1:10" x14ac:dyDescent="0.3">
      <c r="A15" s="3" t="s">
        <v>28</v>
      </c>
      <c r="B15" s="2" t="s">
        <v>10</v>
      </c>
      <c r="C15" s="2" t="s">
        <v>24</v>
      </c>
      <c r="D15" s="14">
        <v>125</v>
      </c>
      <c r="E15" s="14">
        <v>125</v>
      </c>
      <c r="F15" s="2">
        <v>5</v>
      </c>
      <c r="G15" s="2">
        <v>155</v>
      </c>
      <c r="H15" s="14">
        <v>18600</v>
      </c>
      <c r="I15" s="2" t="s">
        <v>12</v>
      </c>
      <c r="J15" s="4">
        <f t="shared" si="0"/>
        <v>4.8734177215189876</v>
      </c>
    </row>
    <row r="16" spans="1:10" x14ac:dyDescent="0.3">
      <c r="A16" s="3" t="s">
        <v>20</v>
      </c>
      <c r="B16" s="2" t="s">
        <v>16</v>
      </c>
      <c r="C16" s="2" t="s">
        <v>11</v>
      </c>
      <c r="D16" s="14">
        <v>56</v>
      </c>
      <c r="E16" s="14">
        <v>66</v>
      </c>
      <c r="F16" s="2">
        <v>0</v>
      </c>
      <c r="G16" s="2">
        <v>89</v>
      </c>
      <c r="H16" s="14">
        <v>5874</v>
      </c>
      <c r="I16" s="2" t="s">
        <v>12</v>
      </c>
      <c r="J16" s="4">
        <f t="shared" si="0"/>
        <v>4.5283018867924527</v>
      </c>
    </row>
    <row r="17" spans="1:10" x14ac:dyDescent="0.3">
      <c r="A17" s="3" t="s">
        <v>29</v>
      </c>
      <c r="B17" s="2" t="s">
        <v>19</v>
      </c>
      <c r="C17" s="2" t="s">
        <v>13</v>
      </c>
      <c r="D17" s="14">
        <v>50</v>
      </c>
      <c r="E17" s="14">
        <v>50</v>
      </c>
      <c r="F17" s="2">
        <v>10</v>
      </c>
      <c r="G17" s="2">
        <v>118</v>
      </c>
      <c r="H17" s="14">
        <v>4720</v>
      </c>
      <c r="I17" s="2" t="s">
        <v>14</v>
      </c>
      <c r="J17" s="4">
        <f t="shared" si="0"/>
        <v>4.5384615384615383</v>
      </c>
    </row>
    <row r="18" spans="1:10" x14ac:dyDescent="0.3">
      <c r="A18" s="3" t="s">
        <v>9</v>
      </c>
      <c r="B18" s="2" t="s">
        <v>10</v>
      </c>
      <c r="C18" s="2" t="s">
        <v>11</v>
      </c>
      <c r="D18" s="14">
        <v>80</v>
      </c>
      <c r="E18" s="14">
        <v>85</v>
      </c>
      <c r="F18" s="2">
        <v>5</v>
      </c>
      <c r="G18" s="2">
        <v>232</v>
      </c>
      <c r="H18" s="14">
        <v>18560</v>
      </c>
      <c r="I18" s="2" t="s">
        <v>12</v>
      </c>
      <c r="J18" s="4">
        <f t="shared" si="0"/>
        <v>4.8717948717948714</v>
      </c>
    </row>
    <row r="19" spans="1:10" x14ac:dyDescent="0.3">
      <c r="A19" s="3" t="s">
        <v>18</v>
      </c>
      <c r="B19" s="2" t="s">
        <v>19</v>
      </c>
      <c r="C19" s="2" t="s">
        <v>24</v>
      </c>
      <c r="D19" s="14">
        <v>164</v>
      </c>
      <c r="E19" s="14">
        <v>174</v>
      </c>
      <c r="F19" s="2">
        <v>0</v>
      </c>
      <c r="G19" s="2">
        <v>100</v>
      </c>
      <c r="H19" s="14">
        <v>17400</v>
      </c>
      <c r="I19" s="2" t="s">
        <v>14</v>
      </c>
      <c r="J19" s="4">
        <f t="shared" si="0"/>
        <v>4.453125</v>
      </c>
    </row>
    <row r="20" spans="1:10" x14ac:dyDescent="0.3">
      <c r="A20" s="3" t="s">
        <v>30</v>
      </c>
      <c r="B20" s="2" t="s">
        <v>10</v>
      </c>
      <c r="C20" s="2" t="s">
        <v>21</v>
      </c>
      <c r="D20" s="14">
        <v>102</v>
      </c>
      <c r="E20" s="14">
        <v>107</v>
      </c>
      <c r="F20" s="2">
        <v>10</v>
      </c>
      <c r="G20" s="2">
        <v>254</v>
      </c>
      <c r="H20" s="14">
        <v>24638</v>
      </c>
      <c r="I20" s="2" t="s">
        <v>12</v>
      </c>
      <c r="J20" s="4">
        <f t="shared" si="0"/>
        <v>4.8701298701298699</v>
      </c>
    </row>
    <row r="21" spans="1:10" x14ac:dyDescent="0.3">
      <c r="A21" s="3" t="s">
        <v>31</v>
      </c>
      <c r="B21" s="2" t="s">
        <v>32</v>
      </c>
      <c r="C21" s="2" t="s">
        <v>25</v>
      </c>
      <c r="D21" s="14">
        <v>195</v>
      </c>
      <c r="E21" s="14">
        <v>205</v>
      </c>
      <c r="F21" s="2">
        <v>0</v>
      </c>
      <c r="G21" s="2">
        <v>223</v>
      </c>
      <c r="H21" s="14">
        <v>45715</v>
      </c>
      <c r="I21" s="2" t="s">
        <v>12</v>
      </c>
      <c r="J21" s="4">
        <f t="shared" si="0"/>
        <v>5.625</v>
      </c>
    </row>
    <row r="22" spans="1:10" x14ac:dyDescent="0.3">
      <c r="A22" s="3" t="s">
        <v>18</v>
      </c>
      <c r="B22" s="2" t="s">
        <v>19</v>
      </c>
      <c r="C22" s="2" t="s">
        <v>17</v>
      </c>
      <c r="D22" s="14">
        <v>154</v>
      </c>
      <c r="E22" s="14">
        <v>159</v>
      </c>
      <c r="F22" s="2">
        <v>5</v>
      </c>
      <c r="G22" s="2">
        <v>253</v>
      </c>
      <c r="H22" s="14">
        <v>38962</v>
      </c>
      <c r="I22" s="2" t="s">
        <v>12</v>
      </c>
      <c r="J22" s="4">
        <f t="shared" si="0"/>
        <v>4.5238095238095237</v>
      </c>
    </row>
    <row r="23" spans="1:10" x14ac:dyDescent="0.3">
      <c r="A23" s="3" t="s">
        <v>22</v>
      </c>
      <c r="B23" s="2" t="s">
        <v>23</v>
      </c>
      <c r="C23" s="2" t="s">
        <v>13</v>
      </c>
      <c r="D23" s="14">
        <v>120</v>
      </c>
      <c r="E23" s="14">
        <v>135</v>
      </c>
      <c r="F23" s="2">
        <v>0</v>
      </c>
      <c r="G23" s="2">
        <v>291</v>
      </c>
      <c r="H23" s="14">
        <v>39285</v>
      </c>
      <c r="I23" s="2" t="s">
        <v>14</v>
      </c>
      <c r="J23" s="4">
        <f t="shared" si="0"/>
        <v>5.7692307692307692</v>
      </c>
    </row>
    <row r="24" spans="1:10" x14ac:dyDescent="0.3">
      <c r="A24" s="3" t="s">
        <v>30</v>
      </c>
      <c r="B24" s="2" t="s">
        <v>10</v>
      </c>
      <c r="C24" s="2" t="s">
        <v>21</v>
      </c>
      <c r="D24" s="14">
        <v>144</v>
      </c>
      <c r="E24" s="14">
        <v>144</v>
      </c>
      <c r="F24" s="2">
        <v>5</v>
      </c>
      <c r="G24" s="2">
        <v>186</v>
      </c>
      <c r="H24" s="14">
        <v>25854</v>
      </c>
      <c r="I24" s="2" t="s">
        <v>14</v>
      </c>
      <c r="J24" s="4">
        <f t="shared" si="0"/>
        <v>4.8026315789473681</v>
      </c>
    </row>
    <row r="25" spans="1:10" x14ac:dyDescent="0.3">
      <c r="A25" s="3" t="s">
        <v>26</v>
      </c>
      <c r="B25" s="2" t="s">
        <v>27</v>
      </c>
      <c r="C25" s="2" t="s">
        <v>25</v>
      </c>
      <c r="D25" s="14">
        <v>118</v>
      </c>
      <c r="E25" s="14">
        <v>123</v>
      </c>
      <c r="F25" s="2">
        <v>5</v>
      </c>
      <c r="G25" s="2">
        <v>124</v>
      </c>
      <c r="H25" s="14">
        <v>14632</v>
      </c>
      <c r="I25" s="2" t="s">
        <v>12</v>
      </c>
      <c r="J25" s="4">
        <f t="shared" si="0"/>
        <v>5</v>
      </c>
    </row>
    <row r="26" spans="1:10" x14ac:dyDescent="0.3">
      <c r="A26" s="3" t="s">
        <v>18</v>
      </c>
      <c r="B26" s="2" t="s">
        <v>19</v>
      </c>
      <c r="C26" s="2" t="s">
        <v>17</v>
      </c>
      <c r="D26" s="14">
        <v>41</v>
      </c>
      <c r="E26" s="14">
        <v>51</v>
      </c>
      <c r="F26" s="2">
        <v>10</v>
      </c>
      <c r="G26" s="2">
        <v>53</v>
      </c>
      <c r="H26" s="14">
        <v>2173</v>
      </c>
      <c r="I26" s="2" t="s">
        <v>14</v>
      </c>
      <c r="J26" s="4">
        <f t="shared" si="0"/>
        <v>4.5161290322580649</v>
      </c>
    </row>
    <row r="27" spans="1:10" x14ac:dyDescent="0.3">
      <c r="A27" s="3" t="s">
        <v>26</v>
      </c>
      <c r="B27" s="2" t="s">
        <v>27</v>
      </c>
      <c r="C27" s="2" t="s">
        <v>24</v>
      </c>
      <c r="D27" s="14">
        <v>147</v>
      </c>
      <c r="E27" s="14">
        <v>147</v>
      </c>
      <c r="F27" s="2">
        <v>10</v>
      </c>
      <c r="G27" s="2">
        <v>167</v>
      </c>
      <c r="H27" s="14">
        <v>22879</v>
      </c>
      <c r="I27" s="2" t="s">
        <v>12</v>
      </c>
      <c r="J27" s="4">
        <f t="shared" si="0"/>
        <v>5</v>
      </c>
    </row>
    <row r="28" spans="1:10" x14ac:dyDescent="0.3">
      <c r="A28" s="3" t="s">
        <v>15</v>
      </c>
      <c r="B28" s="2" t="s">
        <v>16</v>
      </c>
      <c r="C28" s="2" t="s">
        <v>13</v>
      </c>
      <c r="D28" s="14">
        <v>111</v>
      </c>
      <c r="E28" s="14">
        <v>121</v>
      </c>
      <c r="F28" s="2">
        <v>10</v>
      </c>
      <c r="G28" s="2">
        <v>227</v>
      </c>
      <c r="H28" s="14">
        <v>25197</v>
      </c>
      <c r="I28" s="2" t="s">
        <v>12</v>
      </c>
      <c r="J28" s="4">
        <f t="shared" si="0"/>
        <v>4.615384615384615</v>
      </c>
    </row>
    <row r="29" spans="1:10" x14ac:dyDescent="0.3">
      <c r="A29" s="3" t="s">
        <v>29</v>
      </c>
      <c r="B29" s="2" t="s">
        <v>19</v>
      </c>
      <c r="C29" s="2" t="s">
        <v>25</v>
      </c>
      <c r="D29" s="14">
        <v>182</v>
      </c>
      <c r="E29" s="14">
        <v>192</v>
      </c>
      <c r="F29" s="2">
        <v>5</v>
      </c>
      <c r="G29" s="2">
        <v>56</v>
      </c>
      <c r="H29" s="14">
        <v>10472</v>
      </c>
      <c r="I29" s="2" t="s">
        <v>14</v>
      </c>
      <c r="J29" s="4">
        <f t="shared" si="0"/>
        <v>4.4262295081967213</v>
      </c>
    </row>
    <row r="30" spans="1:10" x14ac:dyDescent="0.3">
      <c r="A30" s="3" t="s">
        <v>18</v>
      </c>
      <c r="B30" s="2" t="s">
        <v>19</v>
      </c>
      <c r="C30" s="2" t="s">
        <v>25</v>
      </c>
      <c r="D30" s="14">
        <v>160</v>
      </c>
      <c r="E30" s="14">
        <v>160</v>
      </c>
      <c r="F30" s="2">
        <v>0</v>
      </c>
      <c r="G30" s="2">
        <v>150</v>
      </c>
      <c r="H30" s="14">
        <v>24000</v>
      </c>
      <c r="I30" s="2" t="s">
        <v>12</v>
      </c>
      <c r="J30" s="4">
        <f t="shared" si="0"/>
        <v>4.416666666666667</v>
      </c>
    </row>
    <row r="31" spans="1:10" x14ac:dyDescent="0.3">
      <c r="A31" s="3" t="s">
        <v>9</v>
      </c>
      <c r="B31" s="2" t="s">
        <v>10</v>
      </c>
      <c r="C31" s="2" t="s">
        <v>21</v>
      </c>
      <c r="D31" s="14">
        <v>175</v>
      </c>
      <c r="E31" s="14">
        <v>175</v>
      </c>
      <c r="F31" s="2">
        <v>0</v>
      </c>
      <c r="G31" s="2">
        <v>210</v>
      </c>
      <c r="H31" s="14">
        <v>36750</v>
      </c>
      <c r="I31" s="2" t="s">
        <v>12</v>
      </c>
      <c r="J31" s="4">
        <f t="shared" si="0"/>
        <v>4.8</v>
      </c>
    </row>
    <row r="32" spans="1:10" x14ac:dyDescent="0.3">
      <c r="A32" s="3" t="s">
        <v>26</v>
      </c>
      <c r="B32" s="2" t="s">
        <v>27</v>
      </c>
      <c r="C32" s="2" t="s">
        <v>13</v>
      </c>
      <c r="D32" s="14">
        <v>122</v>
      </c>
      <c r="E32" s="14">
        <v>127</v>
      </c>
      <c r="F32" s="2">
        <v>10</v>
      </c>
      <c r="G32" s="2">
        <v>122</v>
      </c>
      <c r="H32" s="14">
        <v>14274</v>
      </c>
      <c r="I32" s="2" t="s">
        <v>12</v>
      </c>
      <c r="J32" s="4">
        <f t="shared" si="0"/>
        <v>4.833333333333333</v>
      </c>
    </row>
    <row r="33" spans="1:10" x14ac:dyDescent="0.3">
      <c r="A33" s="3" t="s">
        <v>26</v>
      </c>
      <c r="B33" s="2" t="s">
        <v>27</v>
      </c>
      <c r="C33" s="2" t="s">
        <v>17</v>
      </c>
      <c r="D33" s="14">
        <v>124</v>
      </c>
      <c r="E33" s="14">
        <v>139</v>
      </c>
      <c r="F33" s="2">
        <v>5</v>
      </c>
      <c r="G33" s="2">
        <v>58</v>
      </c>
      <c r="H33" s="14">
        <v>7772</v>
      </c>
      <c r="I33" s="2" t="s">
        <v>12</v>
      </c>
      <c r="J33" s="4">
        <f t="shared" si="0"/>
        <v>4.6551724137931032</v>
      </c>
    </row>
    <row r="34" spans="1:10" x14ac:dyDescent="0.3">
      <c r="A34" s="3" t="s">
        <v>28</v>
      </c>
      <c r="B34" s="2" t="s">
        <v>10</v>
      </c>
      <c r="C34" s="2" t="s">
        <v>13</v>
      </c>
      <c r="D34" s="14">
        <v>159</v>
      </c>
      <c r="E34" s="14">
        <v>164</v>
      </c>
      <c r="F34" s="2">
        <v>10</v>
      </c>
      <c r="G34" s="2">
        <v>83</v>
      </c>
      <c r="H34" s="14">
        <v>12782</v>
      </c>
      <c r="I34" s="2" t="s">
        <v>14</v>
      </c>
      <c r="J34" s="4">
        <f t="shared" si="0"/>
        <v>4.8648648648648649</v>
      </c>
    </row>
    <row r="35" spans="1:10" x14ac:dyDescent="0.3">
      <c r="A35" s="3" t="s">
        <v>22</v>
      </c>
      <c r="B35" s="2" t="s">
        <v>23</v>
      </c>
      <c r="C35" s="2" t="s">
        <v>17</v>
      </c>
      <c r="D35" s="14">
        <v>142</v>
      </c>
      <c r="E35" s="14">
        <v>157</v>
      </c>
      <c r="F35" s="2">
        <v>10</v>
      </c>
      <c r="G35" s="2">
        <v>196</v>
      </c>
      <c r="H35" s="14">
        <v>28812</v>
      </c>
      <c r="I35" s="2" t="s">
        <v>14</v>
      </c>
      <c r="J35" s="4">
        <f t="shared" si="0"/>
        <v>6</v>
      </c>
    </row>
    <row r="36" spans="1:10" x14ac:dyDescent="0.3">
      <c r="A36" s="3" t="s">
        <v>20</v>
      </c>
      <c r="B36" s="2" t="s">
        <v>16</v>
      </c>
      <c r="C36" s="2" t="s">
        <v>13</v>
      </c>
      <c r="D36" s="14">
        <v>80</v>
      </c>
      <c r="E36" s="14">
        <v>90</v>
      </c>
      <c r="F36" s="2">
        <v>5</v>
      </c>
      <c r="G36" s="2">
        <v>246</v>
      </c>
      <c r="H36" s="14">
        <v>20910</v>
      </c>
      <c r="I36" s="2" t="s">
        <v>12</v>
      </c>
      <c r="J36" s="4">
        <f t="shared" si="0"/>
        <v>4.5098039215686274</v>
      </c>
    </row>
    <row r="37" spans="1:10" x14ac:dyDescent="0.3">
      <c r="A37" s="3" t="s">
        <v>28</v>
      </c>
      <c r="B37" s="2" t="s">
        <v>10</v>
      </c>
      <c r="C37" s="2" t="s">
        <v>24</v>
      </c>
      <c r="D37" s="14">
        <v>20</v>
      </c>
      <c r="E37" s="14">
        <v>25</v>
      </c>
      <c r="F37" s="2">
        <v>0</v>
      </c>
      <c r="G37" s="2">
        <v>82</v>
      </c>
      <c r="H37" s="14">
        <v>2050</v>
      </c>
      <c r="I37" s="2" t="s">
        <v>12</v>
      </c>
      <c r="J37" s="4">
        <f t="shared" si="0"/>
        <v>4.7945205479452051</v>
      </c>
    </row>
    <row r="38" spans="1:10" x14ac:dyDescent="0.3">
      <c r="A38" s="3" t="s">
        <v>9</v>
      </c>
      <c r="B38" s="2" t="s">
        <v>10</v>
      </c>
      <c r="C38" s="2" t="s">
        <v>25</v>
      </c>
      <c r="D38" s="14">
        <v>138</v>
      </c>
      <c r="E38" s="14">
        <v>138</v>
      </c>
      <c r="F38" s="2">
        <v>10</v>
      </c>
      <c r="G38" s="2">
        <v>129</v>
      </c>
      <c r="H38" s="14">
        <v>16512</v>
      </c>
      <c r="I38" s="2" t="s">
        <v>12</v>
      </c>
      <c r="J38" s="4">
        <f t="shared" si="0"/>
        <v>4.8611111111111107</v>
      </c>
    </row>
    <row r="39" spans="1:10" x14ac:dyDescent="0.3">
      <c r="A39" s="3" t="s">
        <v>18</v>
      </c>
      <c r="B39" s="2" t="s">
        <v>19</v>
      </c>
      <c r="C39" s="2" t="s">
        <v>25</v>
      </c>
      <c r="D39" s="14">
        <v>87</v>
      </c>
      <c r="E39" s="14">
        <v>97</v>
      </c>
      <c r="F39" s="2">
        <v>5</v>
      </c>
      <c r="G39" s="2">
        <v>126</v>
      </c>
      <c r="H39" s="14">
        <v>11592</v>
      </c>
      <c r="I39" s="2" t="s">
        <v>12</v>
      </c>
      <c r="J39" s="4">
        <f t="shared" si="0"/>
        <v>4.4915254237288131</v>
      </c>
    </row>
    <row r="40" spans="1:10" x14ac:dyDescent="0.3">
      <c r="A40" s="3" t="s">
        <v>29</v>
      </c>
      <c r="B40" s="2" t="s">
        <v>19</v>
      </c>
      <c r="C40" s="2" t="s">
        <v>25</v>
      </c>
      <c r="D40" s="14">
        <v>91</v>
      </c>
      <c r="E40" s="14">
        <v>91</v>
      </c>
      <c r="F40" s="2">
        <v>0</v>
      </c>
      <c r="G40" s="2">
        <v>239</v>
      </c>
      <c r="H40" s="14">
        <v>21749</v>
      </c>
      <c r="I40" s="2" t="s">
        <v>12</v>
      </c>
      <c r="J40" s="4">
        <f t="shared" si="0"/>
        <v>4.4827586206896548</v>
      </c>
    </row>
    <row r="41" spans="1:10" x14ac:dyDescent="0.3">
      <c r="A41" s="3" t="s">
        <v>9</v>
      </c>
      <c r="B41" s="2" t="s">
        <v>10</v>
      </c>
      <c r="C41" s="2" t="s">
        <v>24</v>
      </c>
      <c r="D41" s="14">
        <v>108</v>
      </c>
      <c r="E41" s="14">
        <v>113</v>
      </c>
      <c r="F41" s="2">
        <v>0</v>
      </c>
      <c r="G41" s="2">
        <v>56</v>
      </c>
      <c r="H41" s="14">
        <v>6328</v>
      </c>
      <c r="I41" s="2" t="s">
        <v>12</v>
      </c>
      <c r="J41" s="4">
        <f t="shared" si="0"/>
        <v>4.788732394366197</v>
      </c>
    </row>
    <row r="42" spans="1:10" x14ac:dyDescent="0.3">
      <c r="A42" s="3" t="s">
        <v>29</v>
      </c>
      <c r="B42" s="2" t="s">
        <v>19</v>
      </c>
      <c r="C42" s="2" t="s">
        <v>13</v>
      </c>
      <c r="D42" s="14">
        <v>188</v>
      </c>
      <c r="E42" s="14">
        <v>198</v>
      </c>
      <c r="F42" s="2">
        <v>10</v>
      </c>
      <c r="G42" s="2">
        <v>81</v>
      </c>
      <c r="H42" s="14">
        <v>15228</v>
      </c>
      <c r="I42" s="2" t="s">
        <v>12</v>
      </c>
      <c r="J42" s="4">
        <f t="shared" si="0"/>
        <v>4.5614035087719298</v>
      </c>
    </row>
    <row r="43" spans="1:10" x14ac:dyDescent="0.3">
      <c r="A43" s="3" t="s">
        <v>31</v>
      </c>
      <c r="B43" s="2" t="s">
        <v>32</v>
      </c>
      <c r="C43" s="2" t="s">
        <v>25</v>
      </c>
      <c r="D43" s="14">
        <v>74</v>
      </c>
      <c r="E43" s="14">
        <v>74</v>
      </c>
      <c r="F43" s="2">
        <v>0</v>
      </c>
      <c r="G43" s="2">
        <v>68</v>
      </c>
      <c r="H43" s="14">
        <v>5032</v>
      </c>
      <c r="I43" s="2" t="s">
        <v>12</v>
      </c>
      <c r="J43" s="4">
        <f t="shared" si="0"/>
        <v>5.806451612903226</v>
      </c>
    </row>
    <row r="44" spans="1:10" x14ac:dyDescent="0.3">
      <c r="A44" s="3" t="s">
        <v>30</v>
      </c>
      <c r="B44" s="2" t="s">
        <v>10</v>
      </c>
      <c r="C44" s="2" t="s">
        <v>21</v>
      </c>
      <c r="D44" s="14">
        <v>96</v>
      </c>
      <c r="E44" s="14">
        <v>101</v>
      </c>
      <c r="F44" s="2">
        <v>0</v>
      </c>
      <c r="G44" s="2">
        <v>299</v>
      </c>
      <c r="H44" s="14">
        <v>30199</v>
      </c>
      <c r="I44" s="2" t="s">
        <v>12</v>
      </c>
      <c r="J44" s="4">
        <f t="shared" si="0"/>
        <v>4.8571428571428568</v>
      </c>
    </row>
    <row r="45" spans="1:10" x14ac:dyDescent="0.3">
      <c r="A45" s="3" t="s">
        <v>28</v>
      </c>
      <c r="B45" s="2" t="s">
        <v>10</v>
      </c>
      <c r="C45" s="2" t="s">
        <v>11</v>
      </c>
      <c r="D45" s="14">
        <v>177</v>
      </c>
      <c r="E45" s="14">
        <v>187</v>
      </c>
      <c r="F45" s="2">
        <v>5</v>
      </c>
      <c r="G45" s="2">
        <v>143</v>
      </c>
      <c r="H45" s="14">
        <v>26026</v>
      </c>
      <c r="I45" s="2" t="s">
        <v>12</v>
      </c>
      <c r="J45" s="4">
        <f t="shared" si="0"/>
        <v>4.9275362318840576</v>
      </c>
    </row>
    <row r="46" spans="1:10" x14ac:dyDescent="0.3">
      <c r="A46" s="3" t="s">
        <v>29</v>
      </c>
      <c r="B46" s="2" t="s">
        <v>19</v>
      </c>
      <c r="C46" s="2" t="s">
        <v>25</v>
      </c>
      <c r="D46" s="14">
        <v>191</v>
      </c>
      <c r="E46" s="14">
        <v>201</v>
      </c>
      <c r="F46" s="2">
        <v>10</v>
      </c>
      <c r="G46" s="2">
        <v>73</v>
      </c>
      <c r="H46" s="14">
        <v>13943</v>
      </c>
      <c r="I46" s="2" t="s">
        <v>14</v>
      </c>
      <c r="J46" s="4">
        <f t="shared" si="0"/>
        <v>4.4642857142857144</v>
      </c>
    </row>
    <row r="47" spans="1:10" x14ac:dyDescent="0.3">
      <c r="A47" s="3" t="s">
        <v>15</v>
      </c>
      <c r="B47" s="2" t="s">
        <v>16</v>
      </c>
      <c r="C47" s="2" t="s">
        <v>21</v>
      </c>
      <c r="D47" s="14">
        <v>128</v>
      </c>
      <c r="E47" s="14">
        <v>143</v>
      </c>
      <c r="F47" s="2">
        <v>0</v>
      </c>
      <c r="G47" s="2">
        <v>231</v>
      </c>
      <c r="H47" s="14">
        <v>33033</v>
      </c>
      <c r="I47" s="2" t="s">
        <v>14</v>
      </c>
      <c r="J47" s="4">
        <f t="shared" si="0"/>
        <v>4.5</v>
      </c>
    </row>
    <row r="48" spans="1:10" x14ac:dyDescent="0.3">
      <c r="A48" s="3" t="s">
        <v>15</v>
      </c>
      <c r="B48" s="2" t="s">
        <v>16</v>
      </c>
      <c r="C48" s="2" t="s">
        <v>21</v>
      </c>
      <c r="D48" s="14">
        <v>118</v>
      </c>
      <c r="E48" s="14">
        <v>128</v>
      </c>
      <c r="F48" s="2">
        <v>5</v>
      </c>
      <c r="G48" s="2">
        <v>287</v>
      </c>
      <c r="H48" s="14">
        <v>35301</v>
      </c>
      <c r="I48" s="2" t="s">
        <v>12</v>
      </c>
      <c r="J48" s="4">
        <f t="shared" si="0"/>
        <v>4.591836734693878</v>
      </c>
    </row>
    <row r="49" spans="1:10" x14ac:dyDescent="0.3">
      <c r="A49" s="3" t="s">
        <v>31</v>
      </c>
      <c r="B49" s="2" t="s">
        <v>32</v>
      </c>
      <c r="C49" s="2" t="s">
        <v>25</v>
      </c>
      <c r="D49" s="14">
        <v>123</v>
      </c>
      <c r="E49" s="14">
        <v>123</v>
      </c>
      <c r="F49" s="2">
        <v>0</v>
      </c>
      <c r="G49" s="2">
        <v>207</v>
      </c>
      <c r="H49" s="14">
        <v>25461</v>
      </c>
      <c r="I49" s="2" t="s">
        <v>14</v>
      </c>
      <c r="J49" s="4">
        <f t="shared" si="0"/>
        <v>6</v>
      </c>
    </row>
    <row r="50" spans="1:10" x14ac:dyDescent="0.3">
      <c r="A50" s="3" t="s">
        <v>18</v>
      </c>
      <c r="B50" s="2" t="s">
        <v>19</v>
      </c>
      <c r="C50" s="2" t="s">
        <v>24</v>
      </c>
      <c r="D50" s="14">
        <v>86</v>
      </c>
      <c r="E50" s="14">
        <v>86</v>
      </c>
      <c r="F50" s="2">
        <v>0</v>
      </c>
      <c r="G50" s="2">
        <v>198</v>
      </c>
      <c r="H50" s="14">
        <v>17028</v>
      </c>
      <c r="I50" s="2" t="s">
        <v>12</v>
      </c>
      <c r="J50" s="4">
        <f t="shared" si="0"/>
        <v>4.3636363636363633</v>
      </c>
    </row>
    <row r="51" spans="1:10" x14ac:dyDescent="0.3">
      <c r="A51" s="3" t="s">
        <v>29</v>
      </c>
      <c r="B51" s="2" t="s">
        <v>19</v>
      </c>
      <c r="C51" s="2" t="s">
        <v>17</v>
      </c>
      <c r="D51" s="14">
        <v>176</v>
      </c>
      <c r="E51" s="14">
        <v>186</v>
      </c>
      <c r="F51" s="2">
        <v>0</v>
      </c>
      <c r="G51" s="2">
        <v>171</v>
      </c>
      <c r="H51" s="14">
        <v>31806</v>
      </c>
      <c r="I51" s="2" t="s">
        <v>12</v>
      </c>
      <c r="J51" s="4">
        <f t="shared" si="0"/>
        <v>4.4444444444444446</v>
      </c>
    </row>
    <row r="52" spans="1:10" x14ac:dyDescent="0.3">
      <c r="A52" s="3" t="s">
        <v>15</v>
      </c>
      <c r="B52" s="2" t="s">
        <v>16</v>
      </c>
      <c r="C52" s="2" t="s">
        <v>13</v>
      </c>
      <c r="D52" s="14">
        <v>137</v>
      </c>
      <c r="E52" s="14">
        <v>147</v>
      </c>
      <c r="F52" s="2">
        <v>10</v>
      </c>
      <c r="G52" s="2">
        <v>52</v>
      </c>
      <c r="H52" s="14">
        <v>7124</v>
      </c>
      <c r="I52" s="2" t="s">
        <v>12</v>
      </c>
      <c r="J52" s="4">
        <f t="shared" si="0"/>
        <v>4.583333333333333</v>
      </c>
    </row>
    <row r="53" spans="1:10" x14ac:dyDescent="0.3">
      <c r="A53" s="3" t="s">
        <v>30</v>
      </c>
      <c r="B53" s="2" t="s">
        <v>10</v>
      </c>
      <c r="C53" s="2" t="s">
        <v>13</v>
      </c>
      <c r="D53" s="14">
        <v>62</v>
      </c>
      <c r="E53" s="14">
        <v>72</v>
      </c>
      <c r="F53" s="2">
        <v>5</v>
      </c>
      <c r="G53" s="2">
        <v>130</v>
      </c>
      <c r="H53" s="14">
        <v>8710</v>
      </c>
      <c r="I53" s="2" t="s">
        <v>12</v>
      </c>
      <c r="J53" s="4">
        <f t="shared" si="0"/>
        <v>4.9264705882352944</v>
      </c>
    </row>
    <row r="54" spans="1:10" x14ac:dyDescent="0.3">
      <c r="A54" s="3" t="s">
        <v>29</v>
      </c>
      <c r="B54" s="2" t="s">
        <v>19</v>
      </c>
      <c r="C54" s="2" t="s">
        <v>13</v>
      </c>
      <c r="D54" s="14">
        <v>80</v>
      </c>
      <c r="E54" s="14">
        <v>90</v>
      </c>
      <c r="F54" s="2">
        <v>10</v>
      </c>
      <c r="G54" s="2">
        <v>226</v>
      </c>
      <c r="H54" s="14">
        <v>18080</v>
      </c>
      <c r="I54" s="2" t="s">
        <v>14</v>
      </c>
      <c r="J54" s="4">
        <f t="shared" si="0"/>
        <v>4.5283018867924527</v>
      </c>
    </row>
    <row r="55" spans="1:10" x14ac:dyDescent="0.3">
      <c r="A55" s="3" t="s">
        <v>22</v>
      </c>
      <c r="B55" s="2" t="s">
        <v>23</v>
      </c>
      <c r="C55" s="2" t="s">
        <v>25</v>
      </c>
      <c r="D55" s="14">
        <v>37</v>
      </c>
      <c r="E55" s="14">
        <v>37</v>
      </c>
      <c r="F55" s="2">
        <v>5</v>
      </c>
      <c r="G55" s="2">
        <v>209</v>
      </c>
      <c r="H55" s="14">
        <v>6688</v>
      </c>
      <c r="I55" s="2" t="s">
        <v>12</v>
      </c>
      <c r="J55" s="4">
        <f t="shared" si="0"/>
        <v>5.833333333333333</v>
      </c>
    </row>
    <row r="56" spans="1:10" x14ac:dyDescent="0.3">
      <c r="A56" s="3" t="s">
        <v>20</v>
      </c>
      <c r="B56" s="2" t="s">
        <v>16</v>
      </c>
      <c r="C56" s="2" t="s">
        <v>21</v>
      </c>
      <c r="D56" s="14">
        <v>45</v>
      </c>
      <c r="E56" s="14">
        <v>45</v>
      </c>
      <c r="F56" s="2">
        <v>5</v>
      </c>
      <c r="G56" s="2">
        <v>94</v>
      </c>
      <c r="H56" s="14">
        <v>3760</v>
      </c>
      <c r="I56" s="2" t="s">
        <v>12</v>
      </c>
      <c r="J56" s="4">
        <f t="shared" si="0"/>
        <v>4.4680851063829783</v>
      </c>
    </row>
    <row r="57" spans="1:10" x14ac:dyDescent="0.3">
      <c r="A57" s="3" t="s">
        <v>20</v>
      </c>
      <c r="B57" s="2" t="s">
        <v>16</v>
      </c>
      <c r="C57" s="2" t="s">
        <v>11</v>
      </c>
      <c r="D57" s="14">
        <v>68</v>
      </c>
      <c r="E57" s="14">
        <v>83</v>
      </c>
      <c r="F57" s="2">
        <v>5</v>
      </c>
      <c r="G57" s="2">
        <v>101</v>
      </c>
      <c r="H57" s="14">
        <v>7878</v>
      </c>
      <c r="I57" s="2" t="s">
        <v>14</v>
      </c>
      <c r="J57" s="4">
        <f t="shared" si="0"/>
        <v>4.4565217391304346</v>
      </c>
    </row>
    <row r="58" spans="1:10" x14ac:dyDescent="0.3">
      <c r="A58" s="3" t="s">
        <v>26</v>
      </c>
      <c r="B58" s="2" t="s">
        <v>27</v>
      </c>
      <c r="C58" s="2" t="s">
        <v>17</v>
      </c>
      <c r="D58" s="14">
        <v>182</v>
      </c>
      <c r="E58" s="14">
        <v>197</v>
      </c>
      <c r="F58" s="2">
        <v>0</v>
      </c>
      <c r="G58" s="2">
        <v>294</v>
      </c>
      <c r="H58" s="14">
        <v>57918</v>
      </c>
      <c r="I58" s="2" t="s">
        <v>12</v>
      </c>
      <c r="J58" s="4">
        <f t="shared" si="0"/>
        <v>4.6428571428571432</v>
      </c>
    </row>
    <row r="59" spans="1:10" x14ac:dyDescent="0.3">
      <c r="A59" s="3" t="s">
        <v>28</v>
      </c>
      <c r="B59" s="2" t="s">
        <v>10</v>
      </c>
      <c r="C59" s="2" t="s">
        <v>11</v>
      </c>
      <c r="D59" s="14">
        <v>188</v>
      </c>
      <c r="E59" s="14">
        <v>203</v>
      </c>
      <c r="F59" s="2">
        <v>10</v>
      </c>
      <c r="G59" s="2">
        <v>279</v>
      </c>
      <c r="H59" s="14">
        <v>53847</v>
      </c>
      <c r="I59" s="2" t="s">
        <v>12</v>
      </c>
      <c r="J59" s="4">
        <f t="shared" si="0"/>
        <v>4.9253731343283578</v>
      </c>
    </row>
    <row r="60" spans="1:10" x14ac:dyDescent="0.3">
      <c r="A60" s="3" t="s">
        <v>18</v>
      </c>
      <c r="B60" s="2" t="s">
        <v>19</v>
      </c>
      <c r="C60" s="2" t="s">
        <v>11</v>
      </c>
      <c r="D60" s="14">
        <v>135</v>
      </c>
      <c r="E60" s="14">
        <v>140</v>
      </c>
      <c r="F60" s="2">
        <v>5</v>
      </c>
      <c r="G60" s="2">
        <v>162</v>
      </c>
      <c r="H60" s="14">
        <v>21870</v>
      </c>
      <c r="I60" s="2" t="s">
        <v>12</v>
      </c>
      <c r="J60" s="4">
        <f t="shared" si="0"/>
        <v>4.4230769230769234</v>
      </c>
    </row>
    <row r="61" spans="1:10" x14ac:dyDescent="0.3">
      <c r="A61" s="3" t="s">
        <v>22</v>
      </c>
      <c r="B61" s="2" t="s">
        <v>23</v>
      </c>
      <c r="C61" s="2" t="s">
        <v>17</v>
      </c>
      <c r="D61" s="14">
        <v>193</v>
      </c>
      <c r="E61" s="14">
        <v>193</v>
      </c>
      <c r="F61" s="2">
        <v>10</v>
      </c>
      <c r="G61" s="2">
        <v>159</v>
      </c>
      <c r="H61" s="14">
        <v>29097</v>
      </c>
      <c r="I61" s="2" t="s">
        <v>12</v>
      </c>
      <c r="J61" s="4">
        <f t="shared" si="0"/>
        <v>5.8695652173913047</v>
      </c>
    </row>
    <row r="62" spans="1:10" x14ac:dyDescent="0.3">
      <c r="A62" s="3" t="s">
        <v>30</v>
      </c>
      <c r="B62" s="2" t="s">
        <v>10</v>
      </c>
      <c r="C62" s="2" t="s">
        <v>25</v>
      </c>
      <c r="D62" s="14">
        <v>150</v>
      </c>
      <c r="E62" s="14">
        <v>165</v>
      </c>
      <c r="F62" s="2">
        <v>0</v>
      </c>
      <c r="G62" s="2">
        <v>179</v>
      </c>
      <c r="H62" s="14">
        <v>29535</v>
      </c>
      <c r="I62" s="2" t="s">
        <v>12</v>
      </c>
      <c r="J62" s="4">
        <f t="shared" si="0"/>
        <v>4.8484848484848486</v>
      </c>
    </row>
    <row r="63" spans="1:10" x14ac:dyDescent="0.3">
      <c r="A63" s="3" t="s">
        <v>20</v>
      </c>
      <c r="B63" s="2" t="s">
        <v>16</v>
      </c>
      <c r="C63" s="2" t="s">
        <v>17</v>
      </c>
      <c r="D63" s="14">
        <v>160</v>
      </c>
      <c r="E63" s="14">
        <v>165</v>
      </c>
      <c r="F63" s="2">
        <v>0</v>
      </c>
      <c r="G63" s="2">
        <v>244</v>
      </c>
      <c r="H63" s="14">
        <v>40260</v>
      </c>
      <c r="I63" s="2" t="s">
        <v>12</v>
      </c>
      <c r="J63" s="4">
        <f t="shared" si="0"/>
        <v>4.4444444444444446</v>
      </c>
    </row>
    <row r="64" spans="1:10" x14ac:dyDescent="0.3">
      <c r="A64" s="3" t="s">
        <v>28</v>
      </c>
      <c r="B64" s="2" t="s">
        <v>10</v>
      </c>
      <c r="C64" s="2" t="s">
        <v>25</v>
      </c>
      <c r="D64" s="14">
        <v>123</v>
      </c>
      <c r="E64" s="14">
        <v>138</v>
      </c>
      <c r="F64" s="2">
        <v>0</v>
      </c>
      <c r="G64" s="2">
        <v>174</v>
      </c>
      <c r="H64" s="14">
        <v>24012</v>
      </c>
      <c r="I64" s="2" t="s">
        <v>14</v>
      </c>
      <c r="J64" s="4">
        <f t="shared" si="0"/>
        <v>4.9230769230769234</v>
      </c>
    </row>
    <row r="65" spans="1:10" x14ac:dyDescent="0.3">
      <c r="A65" s="3" t="s">
        <v>22</v>
      </c>
      <c r="B65" s="2" t="s">
        <v>23</v>
      </c>
      <c r="C65" s="2" t="s">
        <v>17</v>
      </c>
      <c r="D65" s="14">
        <v>99</v>
      </c>
      <c r="E65" s="14">
        <v>104</v>
      </c>
      <c r="F65" s="2">
        <v>0</v>
      </c>
      <c r="G65" s="2">
        <v>211</v>
      </c>
      <c r="H65" s="14">
        <v>21944</v>
      </c>
      <c r="I65" s="2" t="s">
        <v>12</v>
      </c>
      <c r="J65" s="4">
        <f t="shared" si="0"/>
        <v>5.6818181818181817</v>
      </c>
    </row>
    <row r="66" spans="1:10" x14ac:dyDescent="0.3">
      <c r="A66" s="3" t="s">
        <v>29</v>
      </c>
      <c r="B66" s="2" t="s">
        <v>19</v>
      </c>
      <c r="C66" s="2" t="s">
        <v>11</v>
      </c>
      <c r="D66" s="14">
        <v>140</v>
      </c>
      <c r="E66" s="14">
        <v>140</v>
      </c>
      <c r="F66" s="2">
        <v>10</v>
      </c>
      <c r="G66" s="2">
        <v>269</v>
      </c>
      <c r="H66" s="14">
        <v>34970</v>
      </c>
      <c r="I66" s="2" t="s">
        <v>12</v>
      </c>
      <c r="J66" s="4">
        <f t="shared" si="0"/>
        <v>4.4117647058823533</v>
      </c>
    </row>
    <row r="67" spans="1:10" x14ac:dyDescent="0.3">
      <c r="A67" s="3" t="s">
        <v>18</v>
      </c>
      <c r="B67" s="2" t="s">
        <v>19</v>
      </c>
      <c r="C67" s="2" t="s">
        <v>17</v>
      </c>
      <c r="D67" s="14">
        <v>185</v>
      </c>
      <c r="E67" s="14">
        <v>185</v>
      </c>
      <c r="F67" s="2">
        <v>10</v>
      </c>
      <c r="G67" s="2">
        <v>200</v>
      </c>
      <c r="H67" s="14">
        <v>35000</v>
      </c>
      <c r="I67" s="2" t="s">
        <v>12</v>
      </c>
      <c r="J67" s="4">
        <f t="shared" ref="J67:J130" si="1">AVERAGEIF(B67:B366, B67, F67:F366)</f>
        <v>4.3</v>
      </c>
    </row>
    <row r="68" spans="1:10" x14ac:dyDescent="0.3">
      <c r="A68" s="3" t="s">
        <v>9</v>
      </c>
      <c r="B68" s="2" t="s">
        <v>10</v>
      </c>
      <c r="C68" s="2" t="s">
        <v>21</v>
      </c>
      <c r="D68" s="14">
        <v>172</v>
      </c>
      <c r="E68" s="14">
        <v>172</v>
      </c>
      <c r="F68" s="2">
        <v>10</v>
      </c>
      <c r="G68" s="2">
        <v>132</v>
      </c>
      <c r="H68" s="14">
        <v>21384</v>
      </c>
      <c r="I68" s="2" t="s">
        <v>12</v>
      </c>
      <c r="J68" s="4">
        <f t="shared" si="1"/>
        <v>5</v>
      </c>
    </row>
    <row r="69" spans="1:10" x14ac:dyDescent="0.3">
      <c r="A69" s="3" t="s">
        <v>30</v>
      </c>
      <c r="B69" s="2" t="s">
        <v>10</v>
      </c>
      <c r="C69" s="2" t="s">
        <v>24</v>
      </c>
      <c r="D69" s="14">
        <v>139</v>
      </c>
      <c r="E69" s="14">
        <v>144</v>
      </c>
      <c r="F69" s="2">
        <v>0</v>
      </c>
      <c r="G69" s="2">
        <v>253</v>
      </c>
      <c r="H69" s="14">
        <v>36432</v>
      </c>
      <c r="I69" s="2" t="s">
        <v>14</v>
      </c>
      <c r="J69" s="4">
        <f t="shared" si="1"/>
        <v>4.9206349206349209</v>
      </c>
    </row>
    <row r="70" spans="1:10" x14ac:dyDescent="0.3">
      <c r="A70" s="3" t="s">
        <v>30</v>
      </c>
      <c r="B70" s="2" t="s">
        <v>10</v>
      </c>
      <c r="C70" s="2" t="s">
        <v>25</v>
      </c>
      <c r="D70" s="14">
        <v>180</v>
      </c>
      <c r="E70" s="14">
        <v>190</v>
      </c>
      <c r="F70" s="2">
        <v>10</v>
      </c>
      <c r="G70" s="2">
        <v>156</v>
      </c>
      <c r="H70" s="14">
        <v>28080</v>
      </c>
      <c r="I70" s="2" t="s">
        <v>14</v>
      </c>
      <c r="J70" s="4">
        <f t="shared" si="1"/>
        <v>5</v>
      </c>
    </row>
    <row r="71" spans="1:10" x14ac:dyDescent="0.3">
      <c r="A71" s="3" t="s">
        <v>20</v>
      </c>
      <c r="B71" s="2" t="s">
        <v>16</v>
      </c>
      <c r="C71" s="2" t="s">
        <v>13</v>
      </c>
      <c r="D71" s="14">
        <v>155</v>
      </c>
      <c r="E71" s="14">
        <v>165</v>
      </c>
      <c r="F71" s="2">
        <v>10</v>
      </c>
      <c r="G71" s="2">
        <v>74</v>
      </c>
      <c r="H71" s="14">
        <v>11470</v>
      </c>
      <c r="I71" s="2" t="s">
        <v>12</v>
      </c>
      <c r="J71" s="4">
        <f t="shared" si="1"/>
        <v>4.5454545454545459</v>
      </c>
    </row>
    <row r="72" spans="1:10" x14ac:dyDescent="0.3">
      <c r="A72" s="3" t="s">
        <v>20</v>
      </c>
      <c r="B72" s="2" t="s">
        <v>16</v>
      </c>
      <c r="C72" s="2" t="s">
        <v>13</v>
      </c>
      <c r="D72" s="14">
        <v>105</v>
      </c>
      <c r="E72" s="14">
        <v>105</v>
      </c>
      <c r="F72" s="2">
        <v>5</v>
      </c>
      <c r="G72" s="2">
        <v>295</v>
      </c>
      <c r="H72" s="14">
        <v>29500</v>
      </c>
      <c r="I72" s="2" t="s">
        <v>14</v>
      </c>
      <c r="J72" s="4">
        <f t="shared" si="1"/>
        <v>4.4186046511627906</v>
      </c>
    </row>
    <row r="73" spans="1:10" x14ac:dyDescent="0.3">
      <c r="A73" s="3" t="s">
        <v>26</v>
      </c>
      <c r="B73" s="2" t="s">
        <v>27</v>
      </c>
      <c r="C73" s="2" t="s">
        <v>25</v>
      </c>
      <c r="D73" s="14">
        <v>49</v>
      </c>
      <c r="E73" s="14">
        <v>49</v>
      </c>
      <c r="F73" s="2">
        <v>10</v>
      </c>
      <c r="G73" s="2">
        <v>99</v>
      </c>
      <c r="H73" s="14">
        <v>3861</v>
      </c>
      <c r="I73" s="2" t="s">
        <v>14</v>
      </c>
      <c r="J73" s="4">
        <f t="shared" si="1"/>
        <v>4.8148148148148149</v>
      </c>
    </row>
    <row r="74" spans="1:10" x14ac:dyDescent="0.3">
      <c r="A74" s="3" t="s">
        <v>18</v>
      </c>
      <c r="B74" s="2" t="s">
        <v>19</v>
      </c>
      <c r="C74" s="2" t="s">
        <v>24</v>
      </c>
      <c r="D74" s="14">
        <v>53</v>
      </c>
      <c r="E74" s="14">
        <v>63</v>
      </c>
      <c r="F74" s="2">
        <v>0</v>
      </c>
      <c r="G74" s="2">
        <v>179</v>
      </c>
      <c r="H74" s="14">
        <v>11277</v>
      </c>
      <c r="I74" s="2" t="s">
        <v>12</v>
      </c>
      <c r="J74" s="4">
        <f t="shared" si="1"/>
        <v>4.1836734693877551</v>
      </c>
    </row>
    <row r="75" spans="1:10" x14ac:dyDescent="0.3">
      <c r="A75" s="3" t="s">
        <v>29</v>
      </c>
      <c r="B75" s="2" t="s">
        <v>19</v>
      </c>
      <c r="C75" s="2" t="s">
        <v>25</v>
      </c>
      <c r="D75" s="14">
        <v>99</v>
      </c>
      <c r="E75" s="14">
        <v>109</v>
      </c>
      <c r="F75" s="2">
        <v>0</v>
      </c>
      <c r="G75" s="2">
        <v>297</v>
      </c>
      <c r="H75" s="14">
        <v>32373</v>
      </c>
      <c r="I75" s="2" t="s">
        <v>14</v>
      </c>
      <c r="J75" s="4">
        <f t="shared" si="1"/>
        <v>4.270833333333333</v>
      </c>
    </row>
    <row r="76" spans="1:10" x14ac:dyDescent="0.3">
      <c r="A76" s="3" t="s">
        <v>20</v>
      </c>
      <c r="B76" s="2" t="s">
        <v>16</v>
      </c>
      <c r="C76" s="2" t="s">
        <v>11</v>
      </c>
      <c r="D76" s="14">
        <v>159</v>
      </c>
      <c r="E76" s="14">
        <v>174</v>
      </c>
      <c r="F76" s="2">
        <v>5</v>
      </c>
      <c r="G76" s="2">
        <v>138</v>
      </c>
      <c r="H76" s="14">
        <v>23322</v>
      </c>
      <c r="I76" s="2" t="s">
        <v>14</v>
      </c>
      <c r="J76" s="4">
        <f t="shared" si="1"/>
        <v>4.4047619047619051</v>
      </c>
    </row>
    <row r="77" spans="1:10" x14ac:dyDescent="0.3">
      <c r="A77" s="3" t="s">
        <v>31</v>
      </c>
      <c r="B77" s="2" t="s">
        <v>32</v>
      </c>
      <c r="C77" s="2" t="s">
        <v>17</v>
      </c>
      <c r="D77" s="14">
        <v>191</v>
      </c>
      <c r="E77" s="14">
        <v>191</v>
      </c>
      <c r="F77" s="2">
        <v>10</v>
      </c>
      <c r="G77" s="2">
        <v>211</v>
      </c>
      <c r="H77" s="14">
        <v>38191</v>
      </c>
      <c r="I77" s="2" t="s">
        <v>12</v>
      </c>
      <c r="J77" s="4">
        <f t="shared" si="1"/>
        <v>6.2068965517241379</v>
      </c>
    </row>
    <row r="78" spans="1:10" x14ac:dyDescent="0.3">
      <c r="A78" s="3" t="s">
        <v>18</v>
      </c>
      <c r="B78" s="2" t="s">
        <v>19</v>
      </c>
      <c r="C78" s="2" t="s">
        <v>13</v>
      </c>
      <c r="D78" s="14">
        <v>186</v>
      </c>
      <c r="E78" s="14">
        <v>186</v>
      </c>
      <c r="F78" s="2">
        <v>10</v>
      </c>
      <c r="G78" s="2">
        <v>66</v>
      </c>
      <c r="H78" s="14">
        <v>11616</v>
      </c>
      <c r="I78" s="2" t="s">
        <v>14</v>
      </c>
      <c r="J78" s="4">
        <f t="shared" si="1"/>
        <v>4.3617021276595747</v>
      </c>
    </row>
    <row r="79" spans="1:10" x14ac:dyDescent="0.3">
      <c r="A79" s="3" t="s">
        <v>15</v>
      </c>
      <c r="B79" s="2" t="s">
        <v>16</v>
      </c>
      <c r="C79" s="2" t="s">
        <v>13</v>
      </c>
      <c r="D79" s="14">
        <v>114</v>
      </c>
      <c r="E79" s="14">
        <v>114</v>
      </c>
      <c r="F79" s="2">
        <v>10</v>
      </c>
      <c r="G79" s="2">
        <v>283</v>
      </c>
      <c r="H79" s="14">
        <v>29432</v>
      </c>
      <c r="I79" s="2" t="s">
        <v>12</v>
      </c>
      <c r="J79" s="4">
        <f t="shared" si="1"/>
        <v>4.3902439024390247</v>
      </c>
    </row>
    <row r="80" spans="1:10" x14ac:dyDescent="0.3">
      <c r="A80" s="3" t="s">
        <v>9</v>
      </c>
      <c r="B80" s="2" t="s">
        <v>10</v>
      </c>
      <c r="C80" s="2" t="s">
        <v>17</v>
      </c>
      <c r="D80" s="14">
        <v>20</v>
      </c>
      <c r="E80" s="14">
        <v>35</v>
      </c>
      <c r="F80" s="2">
        <v>10</v>
      </c>
      <c r="G80" s="2">
        <v>257</v>
      </c>
      <c r="H80" s="14">
        <v>6425</v>
      </c>
      <c r="I80" s="2" t="s">
        <v>14</v>
      </c>
      <c r="J80" s="4">
        <f t="shared" si="1"/>
        <v>4.918032786885246</v>
      </c>
    </row>
    <row r="81" spans="1:10" x14ac:dyDescent="0.3">
      <c r="A81" s="3" t="s">
        <v>29</v>
      </c>
      <c r="B81" s="2" t="s">
        <v>19</v>
      </c>
      <c r="C81" s="2" t="s">
        <v>17</v>
      </c>
      <c r="D81" s="14">
        <v>177</v>
      </c>
      <c r="E81" s="14">
        <v>187</v>
      </c>
      <c r="F81" s="2">
        <v>5</v>
      </c>
      <c r="G81" s="2">
        <v>299</v>
      </c>
      <c r="H81" s="14">
        <v>54418</v>
      </c>
      <c r="I81" s="2" t="s">
        <v>12</v>
      </c>
      <c r="J81" s="4">
        <f t="shared" si="1"/>
        <v>4.2391304347826084</v>
      </c>
    </row>
    <row r="82" spans="1:10" x14ac:dyDescent="0.3">
      <c r="A82" s="3" t="s">
        <v>30</v>
      </c>
      <c r="B82" s="2" t="s">
        <v>10</v>
      </c>
      <c r="C82" s="2" t="s">
        <v>13</v>
      </c>
      <c r="D82" s="14">
        <v>151</v>
      </c>
      <c r="E82" s="14">
        <v>156</v>
      </c>
      <c r="F82" s="2">
        <v>0</v>
      </c>
      <c r="G82" s="2">
        <v>52</v>
      </c>
      <c r="H82" s="14">
        <v>8112</v>
      </c>
      <c r="I82" s="2" t="s">
        <v>14</v>
      </c>
      <c r="J82" s="4">
        <f t="shared" si="1"/>
        <v>4.833333333333333</v>
      </c>
    </row>
    <row r="83" spans="1:10" x14ac:dyDescent="0.3">
      <c r="A83" s="3" t="s">
        <v>28</v>
      </c>
      <c r="B83" s="2" t="s">
        <v>10</v>
      </c>
      <c r="C83" s="2" t="s">
        <v>17</v>
      </c>
      <c r="D83" s="14">
        <v>32</v>
      </c>
      <c r="E83" s="14">
        <v>47</v>
      </c>
      <c r="F83" s="2">
        <v>10</v>
      </c>
      <c r="G83" s="2">
        <v>147</v>
      </c>
      <c r="H83" s="14">
        <v>5439</v>
      </c>
      <c r="I83" s="2" t="s">
        <v>12</v>
      </c>
      <c r="J83" s="4">
        <f t="shared" si="1"/>
        <v>4.9152542372881358</v>
      </c>
    </row>
    <row r="84" spans="1:10" x14ac:dyDescent="0.3">
      <c r="A84" s="3" t="s">
        <v>29</v>
      </c>
      <c r="B84" s="2" t="s">
        <v>19</v>
      </c>
      <c r="C84" s="2" t="s">
        <v>11</v>
      </c>
      <c r="D84" s="14">
        <v>55</v>
      </c>
      <c r="E84" s="14">
        <v>60</v>
      </c>
      <c r="F84" s="2">
        <v>5</v>
      </c>
      <c r="G84" s="2">
        <v>208</v>
      </c>
      <c r="H84" s="14">
        <v>11440</v>
      </c>
      <c r="I84" s="2" t="s">
        <v>12</v>
      </c>
      <c r="J84" s="4">
        <f t="shared" si="1"/>
        <v>4.2222222222222223</v>
      </c>
    </row>
    <row r="85" spans="1:10" x14ac:dyDescent="0.3">
      <c r="A85" s="3" t="s">
        <v>26</v>
      </c>
      <c r="B85" s="2" t="s">
        <v>27</v>
      </c>
      <c r="C85" s="2" t="s">
        <v>24</v>
      </c>
      <c r="D85" s="14">
        <v>37</v>
      </c>
      <c r="E85" s="14">
        <v>52</v>
      </c>
      <c r="F85" s="2">
        <v>10</v>
      </c>
      <c r="G85" s="2">
        <v>163</v>
      </c>
      <c r="H85" s="14">
        <v>6846</v>
      </c>
      <c r="I85" s="2" t="s">
        <v>12</v>
      </c>
      <c r="J85" s="4">
        <f t="shared" si="1"/>
        <v>4.615384615384615</v>
      </c>
    </row>
    <row r="86" spans="1:10" x14ac:dyDescent="0.3">
      <c r="A86" s="3" t="s">
        <v>26</v>
      </c>
      <c r="B86" s="2" t="s">
        <v>27</v>
      </c>
      <c r="C86" s="2" t="s">
        <v>17</v>
      </c>
      <c r="D86" s="14">
        <v>170</v>
      </c>
      <c r="E86" s="14">
        <v>175</v>
      </c>
      <c r="F86" s="2">
        <v>5</v>
      </c>
      <c r="G86" s="2">
        <v>294</v>
      </c>
      <c r="H86" s="14">
        <v>49980</v>
      </c>
      <c r="I86" s="2" t="s">
        <v>12</v>
      </c>
      <c r="J86" s="4">
        <f t="shared" si="1"/>
        <v>4.4000000000000004</v>
      </c>
    </row>
    <row r="87" spans="1:10" x14ac:dyDescent="0.3">
      <c r="A87" s="3" t="s">
        <v>15</v>
      </c>
      <c r="B87" s="2" t="s">
        <v>16</v>
      </c>
      <c r="C87" s="2" t="s">
        <v>13</v>
      </c>
      <c r="D87" s="14">
        <v>29</v>
      </c>
      <c r="E87" s="14">
        <v>29</v>
      </c>
      <c r="F87" s="2">
        <v>0</v>
      </c>
      <c r="G87" s="2">
        <v>132</v>
      </c>
      <c r="H87" s="14">
        <v>3828</v>
      </c>
      <c r="I87" s="2" t="s">
        <v>12</v>
      </c>
      <c r="J87" s="4">
        <f t="shared" si="1"/>
        <v>4.25</v>
      </c>
    </row>
    <row r="88" spans="1:10" x14ac:dyDescent="0.3">
      <c r="A88" s="3" t="s">
        <v>28</v>
      </c>
      <c r="B88" s="2" t="s">
        <v>10</v>
      </c>
      <c r="C88" s="2" t="s">
        <v>11</v>
      </c>
      <c r="D88" s="14">
        <v>57</v>
      </c>
      <c r="E88" s="14">
        <v>57</v>
      </c>
      <c r="F88" s="2">
        <v>5</v>
      </c>
      <c r="G88" s="2">
        <v>247</v>
      </c>
      <c r="H88" s="14">
        <v>12844</v>
      </c>
      <c r="I88" s="2" t="s">
        <v>12</v>
      </c>
      <c r="J88" s="4">
        <f t="shared" si="1"/>
        <v>4.8275862068965516</v>
      </c>
    </row>
    <row r="89" spans="1:10" x14ac:dyDescent="0.3">
      <c r="A89" s="3" t="s">
        <v>28</v>
      </c>
      <c r="B89" s="2" t="s">
        <v>10</v>
      </c>
      <c r="C89" s="2" t="s">
        <v>24</v>
      </c>
      <c r="D89" s="14">
        <v>179</v>
      </c>
      <c r="E89" s="14">
        <v>194</v>
      </c>
      <c r="F89" s="2">
        <v>10</v>
      </c>
      <c r="G89" s="2">
        <v>257</v>
      </c>
      <c r="H89" s="14">
        <v>47288</v>
      </c>
      <c r="I89" s="2" t="s">
        <v>12</v>
      </c>
      <c r="J89" s="4">
        <f t="shared" si="1"/>
        <v>4.8245614035087723</v>
      </c>
    </row>
    <row r="90" spans="1:10" x14ac:dyDescent="0.3">
      <c r="A90" s="3" t="s">
        <v>20</v>
      </c>
      <c r="B90" s="2" t="s">
        <v>16</v>
      </c>
      <c r="C90" s="2" t="s">
        <v>13</v>
      </c>
      <c r="D90" s="14">
        <v>63</v>
      </c>
      <c r="E90" s="14">
        <v>73</v>
      </c>
      <c r="F90" s="2">
        <v>5</v>
      </c>
      <c r="G90" s="2">
        <v>67</v>
      </c>
      <c r="H90" s="14">
        <v>4556</v>
      </c>
      <c r="I90" s="2" t="s">
        <v>12</v>
      </c>
      <c r="J90" s="4">
        <f t="shared" si="1"/>
        <v>4.3589743589743586</v>
      </c>
    </row>
    <row r="91" spans="1:10" x14ac:dyDescent="0.3">
      <c r="A91" s="3" t="s">
        <v>20</v>
      </c>
      <c r="B91" s="2" t="s">
        <v>16</v>
      </c>
      <c r="C91" s="2" t="s">
        <v>17</v>
      </c>
      <c r="D91" s="14">
        <v>136</v>
      </c>
      <c r="E91" s="14">
        <v>136</v>
      </c>
      <c r="F91" s="2">
        <v>10</v>
      </c>
      <c r="G91" s="2">
        <v>286</v>
      </c>
      <c r="H91" s="14">
        <v>36036</v>
      </c>
      <c r="I91" s="2" t="s">
        <v>12</v>
      </c>
      <c r="J91" s="4">
        <f t="shared" si="1"/>
        <v>4.3421052631578947</v>
      </c>
    </row>
    <row r="92" spans="1:10" x14ac:dyDescent="0.3">
      <c r="A92" s="3" t="s">
        <v>20</v>
      </c>
      <c r="B92" s="2" t="s">
        <v>16</v>
      </c>
      <c r="C92" s="2" t="s">
        <v>17</v>
      </c>
      <c r="D92" s="14">
        <v>165</v>
      </c>
      <c r="E92" s="14">
        <v>175</v>
      </c>
      <c r="F92" s="2">
        <v>5</v>
      </c>
      <c r="G92" s="2">
        <v>211</v>
      </c>
      <c r="H92" s="14">
        <v>35870</v>
      </c>
      <c r="I92" s="2" t="s">
        <v>12</v>
      </c>
      <c r="J92" s="4">
        <f t="shared" si="1"/>
        <v>4.1891891891891895</v>
      </c>
    </row>
    <row r="93" spans="1:10" x14ac:dyDescent="0.3">
      <c r="A93" s="3" t="s">
        <v>29</v>
      </c>
      <c r="B93" s="2" t="s">
        <v>19</v>
      </c>
      <c r="C93" s="2" t="s">
        <v>25</v>
      </c>
      <c r="D93" s="14">
        <v>50</v>
      </c>
      <c r="E93" s="14">
        <v>60</v>
      </c>
      <c r="F93" s="2">
        <v>10</v>
      </c>
      <c r="G93" s="2">
        <v>270</v>
      </c>
      <c r="H93" s="14">
        <v>13500</v>
      </c>
      <c r="I93" s="2" t="s">
        <v>12</v>
      </c>
      <c r="J93" s="4">
        <f t="shared" si="1"/>
        <v>4.2045454545454541</v>
      </c>
    </row>
    <row r="94" spans="1:10" x14ac:dyDescent="0.3">
      <c r="A94" s="3" t="s">
        <v>31</v>
      </c>
      <c r="B94" s="2" t="s">
        <v>32</v>
      </c>
      <c r="C94" s="2" t="s">
        <v>25</v>
      </c>
      <c r="D94" s="14">
        <v>180</v>
      </c>
      <c r="E94" s="14">
        <v>185</v>
      </c>
      <c r="F94" s="2">
        <v>10</v>
      </c>
      <c r="G94" s="2">
        <v>163</v>
      </c>
      <c r="H94" s="14">
        <v>28525</v>
      </c>
      <c r="I94" s="2" t="s">
        <v>12</v>
      </c>
      <c r="J94" s="4">
        <f t="shared" si="1"/>
        <v>6.0714285714285712</v>
      </c>
    </row>
    <row r="95" spans="1:10" x14ac:dyDescent="0.3">
      <c r="A95" s="3" t="s">
        <v>18</v>
      </c>
      <c r="B95" s="2" t="s">
        <v>19</v>
      </c>
      <c r="C95" s="2" t="s">
        <v>17</v>
      </c>
      <c r="D95" s="14">
        <v>32</v>
      </c>
      <c r="E95" s="14">
        <v>47</v>
      </c>
      <c r="F95" s="2">
        <v>10</v>
      </c>
      <c r="G95" s="2">
        <v>120</v>
      </c>
      <c r="H95" s="14">
        <v>4440</v>
      </c>
      <c r="I95" s="2" t="s">
        <v>12</v>
      </c>
      <c r="J95" s="4">
        <f t="shared" si="1"/>
        <v>4.0697674418604652</v>
      </c>
    </row>
    <row r="96" spans="1:10" x14ac:dyDescent="0.3">
      <c r="A96" s="3" t="s">
        <v>15</v>
      </c>
      <c r="B96" s="2" t="s">
        <v>16</v>
      </c>
      <c r="C96" s="2" t="s">
        <v>13</v>
      </c>
      <c r="D96" s="14">
        <v>97</v>
      </c>
      <c r="E96" s="14">
        <v>112</v>
      </c>
      <c r="F96" s="2">
        <v>0</v>
      </c>
      <c r="G96" s="2">
        <v>187</v>
      </c>
      <c r="H96" s="14">
        <v>20944</v>
      </c>
      <c r="I96" s="2" t="s">
        <v>12</v>
      </c>
      <c r="J96" s="4">
        <f t="shared" si="1"/>
        <v>4.166666666666667</v>
      </c>
    </row>
    <row r="97" spans="1:10" x14ac:dyDescent="0.3">
      <c r="A97" s="3" t="s">
        <v>18</v>
      </c>
      <c r="B97" s="2" t="s">
        <v>19</v>
      </c>
      <c r="C97" s="2" t="s">
        <v>11</v>
      </c>
      <c r="D97" s="14">
        <v>181</v>
      </c>
      <c r="E97" s="14">
        <v>186</v>
      </c>
      <c r="F97" s="2">
        <v>0</v>
      </c>
      <c r="G97" s="2">
        <v>54</v>
      </c>
      <c r="H97" s="14">
        <v>10044</v>
      </c>
      <c r="I97" s="2" t="s">
        <v>12</v>
      </c>
      <c r="J97" s="4">
        <f t="shared" si="1"/>
        <v>3.9285714285714284</v>
      </c>
    </row>
    <row r="98" spans="1:10" x14ac:dyDescent="0.3">
      <c r="A98" s="3" t="s">
        <v>18</v>
      </c>
      <c r="B98" s="2" t="s">
        <v>19</v>
      </c>
      <c r="C98" s="2" t="s">
        <v>21</v>
      </c>
      <c r="D98" s="14">
        <v>184</v>
      </c>
      <c r="E98" s="14">
        <v>194</v>
      </c>
      <c r="F98" s="2">
        <v>10</v>
      </c>
      <c r="G98" s="2">
        <v>86</v>
      </c>
      <c r="H98" s="14">
        <v>15824</v>
      </c>
      <c r="I98" s="2" t="s">
        <v>12</v>
      </c>
      <c r="J98" s="4">
        <f t="shared" si="1"/>
        <v>4.024390243902439</v>
      </c>
    </row>
    <row r="99" spans="1:10" x14ac:dyDescent="0.3">
      <c r="A99" s="3" t="s">
        <v>18</v>
      </c>
      <c r="B99" s="2" t="s">
        <v>19</v>
      </c>
      <c r="C99" s="2" t="s">
        <v>13</v>
      </c>
      <c r="D99" s="14">
        <v>57</v>
      </c>
      <c r="E99" s="14">
        <v>62</v>
      </c>
      <c r="F99" s="2">
        <v>10</v>
      </c>
      <c r="G99" s="2">
        <v>236</v>
      </c>
      <c r="H99" s="14">
        <v>12272</v>
      </c>
      <c r="I99" s="2" t="s">
        <v>12</v>
      </c>
      <c r="J99" s="4">
        <f t="shared" si="1"/>
        <v>3.875</v>
      </c>
    </row>
    <row r="100" spans="1:10" x14ac:dyDescent="0.3">
      <c r="A100" s="3" t="s">
        <v>29</v>
      </c>
      <c r="B100" s="2" t="s">
        <v>19</v>
      </c>
      <c r="C100" s="2" t="s">
        <v>24</v>
      </c>
      <c r="D100" s="14">
        <v>50</v>
      </c>
      <c r="E100" s="14">
        <v>50</v>
      </c>
      <c r="F100" s="2">
        <v>5</v>
      </c>
      <c r="G100" s="2">
        <v>163</v>
      </c>
      <c r="H100" s="14">
        <v>7335</v>
      </c>
      <c r="I100" s="2" t="s">
        <v>14</v>
      </c>
      <c r="J100" s="4">
        <f t="shared" si="1"/>
        <v>3.7179487179487181</v>
      </c>
    </row>
    <row r="101" spans="1:10" x14ac:dyDescent="0.3">
      <c r="A101" s="3" t="s">
        <v>28</v>
      </c>
      <c r="B101" s="2" t="s">
        <v>10</v>
      </c>
      <c r="C101" s="2" t="s">
        <v>17</v>
      </c>
      <c r="D101" s="14">
        <v>115</v>
      </c>
      <c r="E101" s="14">
        <v>120</v>
      </c>
      <c r="F101" s="2">
        <v>0</v>
      </c>
      <c r="G101" s="2">
        <v>122</v>
      </c>
      <c r="H101" s="14">
        <v>14640</v>
      </c>
      <c r="I101" s="2" t="s">
        <v>12</v>
      </c>
      <c r="J101" s="4">
        <f t="shared" si="1"/>
        <v>4.7321428571428568</v>
      </c>
    </row>
    <row r="102" spans="1:10" x14ac:dyDescent="0.3">
      <c r="A102" s="3" t="s">
        <v>15</v>
      </c>
      <c r="B102" s="2" t="s">
        <v>16</v>
      </c>
      <c r="C102" s="2" t="s">
        <v>24</v>
      </c>
      <c r="D102" s="14">
        <v>120</v>
      </c>
      <c r="E102" s="14">
        <v>135</v>
      </c>
      <c r="F102" s="2">
        <v>0</v>
      </c>
      <c r="G102" s="2">
        <v>138</v>
      </c>
      <c r="H102" s="14">
        <v>18630</v>
      </c>
      <c r="I102" s="2" t="s">
        <v>14</v>
      </c>
      <c r="J102" s="4">
        <f t="shared" si="1"/>
        <v>4.2857142857142856</v>
      </c>
    </row>
    <row r="103" spans="1:10" x14ac:dyDescent="0.3">
      <c r="A103" s="3" t="s">
        <v>18</v>
      </c>
      <c r="B103" s="2" t="s">
        <v>19</v>
      </c>
      <c r="C103" s="2" t="s">
        <v>11</v>
      </c>
      <c r="D103" s="14">
        <v>125</v>
      </c>
      <c r="E103" s="14">
        <v>125</v>
      </c>
      <c r="F103" s="2">
        <v>0</v>
      </c>
      <c r="G103" s="2">
        <v>146</v>
      </c>
      <c r="H103" s="14">
        <v>18250</v>
      </c>
      <c r="I103" s="2" t="s">
        <v>14</v>
      </c>
      <c r="J103" s="4">
        <f t="shared" si="1"/>
        <v>3.6842105263157894</v>
      </c>
    </row>
    <row r="104" spans="1:10" x14ac:dyDescent="0.3">
      <c r="A104" s="3" t="s">
        <v>30</v>
      </c>
      <c r="B104" s="2" t="s">
        <v>10</v>
      </c>
      <c r="C104" s="2" t="s">
        <v>24</v>
      </c>
      <c r="D104" s="14">
        <v>148</v>
      </c>
      <c r="E104" s="14">
        <v>153</v>
      </c>
      <c r="F104" s="2">
        <v>0</v>
      </c>
      <c r="G104" s="2">
        <v>171</v>
      </c>
      <c r="H104" s="14">
        <v>26163</v>
      </c>
      <c r="I104" s="2" t="s">
        <v>14</v>
      </c>
      <c r="J104" s="4">
        <f t="shared" si="1"/>
        <v>4.8181818181818183</v>
      </c>
    </row>
    <row r="105" spans="1:10" x14ac:dyDescent="0.3">
      <c r="A105" s="3" t="s">
        <v>15</v>
      </c>
      <c r="B105" s="2" t="s">
        <v>16</v>
      </c>
      <c r="C105" s="2" t="s">
        <v>17</v>
      </c>
      <c r="D105" s="14">
        <v>73</v>
      </c>
      <c r="E105" s="14">
        <v>78</v>
      </c>
      <c r="F105" s="2">
        <v>5</v>
      </c>
      <c r="G105" s="2">
        <v>82</v>
      </c>
      <c r="H105" s="14">
        <v>5986</v>
      </c>
      <c r="I105" s="2" t="s">
        <v>12</v>
      </c>
      <c r="J105" s="4">
        <f t="shared" si="1"/>
        <v>4.4117647058823533</v>
      </c>
    </row>
    <row r="106" spans="1:10" x14ac:dyDescent="0.3">
      <c r="A106" s="3" t="s">
        <v>26</v>
      </c>
      <c r="B106" s="2" t="s">
        <v>27</v>
      </c>
      <c r="C106" s="2" t="s">
        <v>11</v>
      </c>
      <c r="D106" s="14">
        <v>31</v>
      </c>
      <c r="E106" s="14">
        <v>46</v>
      </c>
      <c r="F106" s="2">
        <v>10</v>
      </c>
      <c r="G106" s="2">
        <v>109</v>
      </c>
      <c r="H106" s="14">
        <v>3924</v>
      </c>
      <c r="I106" s="2" t="s">
        <v>12</v>
      </c>
      <c r="J106" s="4">
        <f t="shared" si="1"/>
        <v>4.375</v>
      </c>
    </row>
    <row r="107" spans="1:10" x14ac:dyDescent="0.3">
      <c r="A107" s="3" t="s">
        <v>22</v>
      </c>
      <c r="B107" s="2" t="s">
        <v>23</v>
      </c>
      <c r="C107" s="2" t="s">
        <v>21</v>
      </c>
      <c r="D107" s="14">
        <v>199</v>
      </c>
      <c r="E107" s="14">
        <v>204</v>
      </c>
      <c r="F107" s="2">
        <v>0</v>
      </c>
      <c r="G107" s="2">
        <v>269</v>
      </c>
      <c r="H107" s="14">
        <v>54876</v>
      </c>
      <c r="I107" s="2" t="s">
        <v>12</v>
      </c>
      <c r="J107" s="4">
        <f t="shared" si="1"/>
        <v>5.9523809523809526</v>
      </c>
    </row>
    <row r="108" spans="1:10" x14ac:dyDescent="0.3">
      <c r="A108" s="3" t="s">
        <v>18</v>
      </c>
      <c r="B108" s="2" t="s">
        <v>19</v>
      </c>
      <c r="C108" s="2" t="s">
        <v>17</v>
      </c>
      <c r="D108" s="14">
        <v>184</v>
      </c>
      <c r="E108" s="14">
        <v>199</v>
      </c>
      <c r="F108" s="2">
        <v>5</v>
      </c>
      <c r="G108" s="2">
        <v>69</v>
      </c>
      <c r="H108" s="14">
        <v>13386</v>
      </c>
      <c r="I108" s="2" t="s">
        <v>12</v>
      </c>
      <c r="J108" s="4">
        <f t="shared" si="1"/>
        <v>3.7837837837837838</v>
      </c>
    </row>
    <row r="109" spans="1:10" x14ac:dyDescent="0.3">
      <c r="A109" s="3" t="s">
        <v>31</v>
      </c>
      <c r="B109" s="2" t="s">
        <v>32</v>
      </c>
      <c r="C109" s="2" t="s">
        <v>17</v>
      </c>
      <c r="D109" s="14">
        <v>151</v>
      </c>
      <c r="E109" s="14">
        <v>151</v>
      </c>
      <c r="F109" s="2">
        <v>0</v>
      </c>
      <c r="G109" s="2">
        <v>57</v>
      </c>
      <c r="H109" s="14">
        <v>8607</v>
      </c>
      <c r="I109" s="2" t="s">
        <v>12</v>
      </c>
      <c r="J109" s="4">
        <f t="shared" si="1"/>
        <v>5.9259259259259256</v>
      </c>
    </row>
    <row r="110" spans="1:10" x14ac:dyDescent="0.3">
      <c r="A110" s="3" t="s">
        <v>15</v>
      </c>
      <c r="B110" s="2" t="s">
        <v>16</v>
      </c>
      <c r="C110" s="2" t="s">
        <v>17</v>
      </c>
      <c r="D110" s="14">
        <v>23</v>
      </c>
      <c r="E110" s="14">
        <v>28</v>
      </c>
      <c r="F110" s="2">
        <v>5</v>
      </c>
      <c r="G110" s="2">
        <v>276</v>
      </c>
      <c r="H110" s="14">
        <v>6348</v>
      </c>
      <c r="I110" s="2" t="s">
        <v>14</v>
      </c>
      <c r="J110" s="4">
        <f t="shared" si="1"/>
        <v>4.3939393939393936</v>
      </c>
    </row>
    <row r="111" spans="1:10" x14ac:dyDescent="0.3">
      <c r="A111" s="3" t="s">
        <v>29</v>
      </c>
      <c r="B111" s="2" t="s">
        <v>19</v>
      </c>
      <c r="C111" s="2" t="s">
        <v>21</v>
      </c>
      <c r="D111" s="14">
        <v>83</v>
      </c>
      <c r="E111" s="14">
        <v>93</v>
      </c>
      <c r="F111" s="2">
        <v>10</v>
      </c>
      <c r="G111" s="2">
        <v>148</v>
      </c>
      <c r="H111" s="14">
        <v>12284</v>
      </c>
      <c r="I111" s="2" t="s">
        <v>12</v>
      </c>
      <c r="J111" s="4">
        <f t="shared" si="1"/>
        <v>3.75</v>
      </c>
    </row>
    <row r="112" spans="1:10" x14ac:dyDescent="0.3">
      <c r="A112" s="3" t="s">
        <v>18</v>
      </c>
      <c r="B112" s="2" t="s">
        <v>19</v>
      </c>
      <c r="C112" s="2" t="s">
        <v>24</v>
      </c>
      <c r="D112" s="14">
        <v>138</v>
      </c>
      <c r="E112" s="14">
        <v>153</v>
      </c>
      <c r="F112" s="2">
        <v>10</v>
      </c>
      <c r="G112" s="2">
        <v>182</v>
      </c>
      <c r="H112" s="14">
        <v>26026</v>
      </c>
      <c r="I112" s="2" t="s">
        <v>12</v>
      </c>
      <c r="J112" s="4">
        <f t="shared" si="1"/>
        <v>3.5714285714285716</v>
      </c>
    </row>
    <row r="113" spans="1:10" x14ac:dyDescent="0.3">
      <c r="A113" s="3" t="s">
        <v>28</v>
      </c>
      <c r="B113" s="2" t="s">
        <v>10</v>
      </c>
      <c r="C113" s="2" t="s">
        <v>24</v>
      </c>
      <c r="D113" s="14">
        <v>116</v>
      </c>
      <c r="E113" s="14">
        <v>131</v>
      </c>
      <c r="F113" s="2">
        <v>10</v>
      </c>
      <c r="G113" s="2">
        <v>283</v>
      </c>
      <c r="H113" s="14">
        <v>34243</v>
      </c>
      <c r="I113" s="2" t="s">
        <v>12</v>
      </c>
      <c r="J113" s="4">
        <f t="shared" si="1"/>
        <v>4.9074074074074074</v>
      </c>
    </row>
    <row r="114" spans="1:10" x14ac:dyDescent="0.3">
      <c r="A114" s="3" t="s">
        <v>9</v>
      </c>
      <c r="B114" s="2" t="s">
        <v>10</v>
      </c>
      <c r="C114" s="2" t="s">
        <v>11</v>
      </c>
      <c r="D114" s="14">
        <v>98</v>
      </c>
      <c r="E114" s="14">
        <v>113</v>
      </c>
      <c r="F114" s="2">
        <v>10</v>
      </c>
      <c r="G114" s="2">
        <v>233</v>
      </c>
      <c r="H114" s="14">
        <v>23999</v>
      </c>
      <c r="I114" s="2" t="s">
        <v>12</v>
      </c>
      <c r="J114" s="4">
        <f t="shared" si="1"/>
        <v>4.8113207547169807</v>
      </c>
    </row>
    <row r="115" spans="1:10" x14ac:dyDescent="0.3">
      <c r="A115" s="3" t="s">
        <v>28</v>
      </c>
      <c r="B115" s="2" t="s">
        <v>10</v>
      </c>
      <c r="C115" s="2" t="s">
        <v>21</v>
      </c>
      <c r="D115" s="14">
        <v>176</v>
      </c>
      <c r="E115" s="14">
        <v>186</v>
      </c>
      <c r="F115" s="2">
        <v>0</v>
      </c>
      <c r="G115" s="2">
        <v>150</v>
      </c>
      <c r="H115" s="14">
        <v>27900</v>
      </c>
      <c r="I115" s="2" t="s">
        <v>12</v>
      </c>
      <c r="J115" s="4">
        <f t="shared" si="1"/>
        <v>4.7115384615384617</v>
      </c>
    </row>
    <row r="116" spans="1:10" x14ac:dyDescent="0.3">
      <c r="A116" s="3" t="s">
        <v>31</v>
      </c>
      <c r="B116" s="2" t="s">
        <v>32</v>
      </c>
      <c r="C116" s="2" t="s">
        <v>17</v>
      </c>
      <c r="D116" s="14">
        <v>65</v>
      </c>
      <c r="E116" s="14">
        <v>75</v>
      </c>
      <c r="F116" s="2">
        <v>5</v>
      </c>
      <c r="G116" s="2">
        <v>168</v>
      </c>
      <c r="H116" s="14">
        <v>11760</v>
      </c>
      <c r="I116" s="2" t="s">
        <v>12</v>
      </c>
      <c r="J116" s="4">
        <f t="shared" si="1"/>
        <v>6.1538461538461542</v>
      </c>
    </row>
    <row r="117" spans="1:10" x14ac:dyDescent="0.3">
      <c r="A117" s="3" t="s">
        <v>18</v>
      </c>
      <c r="B117" s="2" t="s">
        <v>19</v>
      </c>
      <c r="C117" s="2" t="s">
        <v>17</v>
      </c>
      <c r="D117" s="14">
        <v>48</v>
      </c>
      <c r="E117" s="14">
        <v>53</v>
      </c>
      <c r="F117" s="2">
        <v>0</v>
      </c>
      <c r="G117" s="2">
        <v>192</v>
      </c>
      <c r="H117" s="14">
        <v>10176</v>
      </c>
      <c r="I117" s="2" t="s">
        <v>12</v>
      </c>
      <c r="J117" s="4">
        <f t="shared" si="1"/>
        <v>3.3823529411764706</v>
      </c>
    </row>
    <row r="118" spans="1:10" x14ac:dyDescent="0.3">
      <c r="A118" s="3" t="s">
        <v>29</v>
      </c>
      <c r="B118" s="2" t="s">
        <v>19</v>
      </c>
      <c r="C118" s="2" t="s">
        <v>13</v>
      </c>
      <c r="D118" s="14">
        <v>101</v>
      </c>
      <c r="E118" s="14">
        <v>101</v>
      </c>
      <c r="F118" s="2">
        <v>5</v>
      </c>
      <c r="G118" s="2">
        <v>294</v>
      </c>
      <c r="H118" s="14">
        <v>28224</v>
      </c>
      <c r="I118" s="2" t="s">
        <v>14</v>
      </c>
      <c r="J118" s="4">
        <f t="shared" si="1"/>
        <v>3.4848484848484849</v>
      </c>
    </row>
    <row r="119" spans="1:10" x14ac:dyDescent="0.3">
      <c r="A119" s="3" t="s">
        <v>30</v>
      </c>
      <c r="B119" s="2" t="s">
        <v>10</v>
      </c>
      <c r="C119" s="2" t="s">
        <v>24</v>
      </c>
      <c r="D119" s="14">
        <v>75</v>
      </c>
      <c r="E119" s="14">
        <v>90</v>
      </c>
      <c r="F119" s="2">
        <v>10</v>
      </c>
      <c r="G119" s="2">
        <v>55</v>
      </c>
      <c r="H119" s="14">
        <v>4400</v>
      </c>
      <c r="I119" s="2" t="s">
        <v>12</v>
      </c>
      <c r="J119" s="4">
        <f t="shared" si="1"/>
        <v>4.8039215686274508</v>
      </c>
    </row>
    <row r="120" spans="1:10" x14ac:dyDescent="0.3">
      <c r="A120" s="3" t="s">
        <v>9</v>
      </c>
      <c r="B120" s="2" t="s">
        <v>10</v>
      </c>
      <c r="C120" s="2" t="s">
        <v>24</v>
      </c>
      <c r="D120" s="14">
        <v>132</v>
      </c>
      <c r="E120" s="14">
        <v>132</v>
      </c>
      <c r="F120" s="2">
        <v>0</v>
      </c>
      <c r="G120" s="2">
        <v>255</v>
      </c>
      <c r="H120" s="14">
        <v>33660</v>
      </c>
      <c r="I120" s="2" t="s">
        <v>12</v>
      </c>
      <c r="J120" s="4">
        <f t="shared" si="1"/>
        <v>4.7</v>
      </c>
    </row>
    <row r="121" spans="1:10" x14ac:dyDescent="0.3">
      <c r="A121" s="3" t="s">
        <v>30</v>
      </c>
      <c r="B121" s="2" t="s">
        <v>10</v>
      </c>
      <c r="C121" s="2" t="s">
        <v>17</v>
      </c>
      <c r="D121" s="14">
        <v>140</v>
      </c>
      <c r="E121" s="14">
        <v>155</v>
      </c>
      <c r="F121" s="2">
        <v>10</v>
      </c>
      <c r="G121" s="2">
        <v>85</v>
      </c>
      <c r="H121" s="14">
        <v>12325</v>
      </c>
      <c r="I121" s="2" t="s">
        <v>12</v>
      </c>
      <c r="J121" s="4">
        <f t="shared" si="1"/>
        <v>4.795918367346939</v>
      </c>
    </row>
    <row r="122" spans="1:10" x14ac:dyDescent="0.3">
      <c r="A122" s="3" t="s">
        <v>31</v>
      </c>
      <c r="B122" s="2" t="s">
        <v>32</v>
      </c>
      <c r="C122" s="2" t="s">
        <v>11</v>
      </c>
      <c r="D122" s="14">
        <v>87</v>
      </c>
      <c r="E122" s="14">
        <v>87</v>
      </c>
      <c r="F122" s="2">
        <v>10</v>
      </c>
      <c r="G122" s="2">
        <v>199</v>
      </c>
      <c r="H122" s="14">
        <v>15323</v>
      </c>
      <c r="I122" s="2" t="s">
        <v>12</v>
      </c>
      <c r="J122" s="4">
        <f t="shared" si="1"/>
        <v>6.2</v>
      </c>
    </row>
    <row r="123" spans="1:10" x14ac:dyDescent="0.3">
      <c r="A123" s="3" t="s">
        <v>30</v>
      </c>
      <c r="B123" s="2" t="s">
        <v>10</v>
      </c>
      <c r="C123" s="2" t="s">
        <v>17</v>
      </c>
      <c r="D123" s="14">
        <v>187</v>
      </c>
      <c r="E123" s="14">
        <v>187</v>
      </c>
      <c r="F123" s="2">
        <v>0</v>
      </c>
      <c r="G123" s="2">
        <v>131</v>
      </c>
      <c r="H123" s="14">
        <v>24497</v>
      </c>
      <c r="I123" s="2" t="s">
        <v>12</v>
      </c>
      <c r="J123" s="4">
        <f t="shared" si="1"/>
        <v>4.6875</v>
      </c>
    </row>
    <row r="124" spans="1:10" x14ac:dyDescent="0.3">
      <c r="A124" s="3" t="s">
        <v>22</v>
      </c>
      <c r="B124" s="2" t="s">
        <v>23</v>
      </c>
      <c r="C124" s="2" t="s">
        <v>24</v>
      </c>
      <c r="D124" s="14">
        <v>156</v>
      </c>
      <c r="E124" s="14">
        <v>166</v>
      </c>
      <c r="F124" s="2">
        <v>10</v>
      </c>
      <c r="G124" s="2">
        <v>144</v>
      </c>
      <c r="H124" s="14">
        <v>22464</v>
      </c>
      <c r="I124" s="2" t="s">
        <v>12</v>
      </c>
      <c r="J124" s="4">
        <f t="shared" si="1"/>
        <v>6.25</v>
      </c>
    </row>
    <row r="125" spans="1:10" x14ac:dyDescent="0.3">
      <c r="A125" s="3" t="s">
        <v>26</v>
      </c>
      <c r="B125" s="2" t="s">
        <v>27</v>
      </c>
      <c r="C125" s="2" t="s">
        <v>24</v>
      </c>
      <c r="D125" s="14">
        <v>174</v>
      </c>
      <c r="E125" s="14">
        <v>189</v>
      </c>
      <c r="F125" s="2">
        <v>5</v>
      </c>
      <c r="G125" s="2">
        <v>162</v>
      </c>
      <c r="H125" s="14">
        <v>29808</v>
      </c>
      <c r="I125" s="2" t="s">
        <v>12</v>
      </c>
      <c r="J125" s="4">
        <f t="shared" si="1"/>
        <v>4.1304347826086953</v>
      </c>
    </row>
    <row r="126" spans="1:10" x14ac:dyDescent="0.3">
      <c r="A126" s="3" t="s">
        <v>22</v>
      </c>
      <c r="B126" s="2" t="s">
        <v>23</v>
      </c>
      <c r="C126" s="2" t="s">
        <v>24</v>
      </c>
      <c r="D126" s="14">
        <v>135</v>
      </c>
      <c r="E126" s="14">
        <v>145</v>
      </c>
      <c r="F126" s="2">
        <v>10</v>
      </c>
      <c r="G126" s="2">
        <v>71</v>
      </c>
      <c r="H126" s="14">
        <v>9585</v>
      </c>
      <c r="I126" s="2" t="s">
        <v>12</v>
      </c>
      <c r="J126" s="4">
        <f t="shared" si="1"/>
        <v>6.0526315789473681</v>
      </c>
    </row>
    <row r="127" spans="1:10" x14ac:dyDescent="0.3">
      <c r="A127" s="3" t="s">
        <v>31</v>
      </c>
      <c r="B127" s="2" t="s">
        <v>32</v>
      </c>
      <c r="C127" s="2" t="s">
        <v>17</v>
      </c>
      <c r="D127" s="14">
        <v>77</v>
      </c>
      <c r="E127" s="14">
        <v>92</v>
      </c>
      <c r="F127" s="2">
        <v>10</v>
      </c>
      <c r="G127" s="2">
        <v>50</v>
      </c>
      <c r="H127" s="14">
        <v>4100</v>
      </c>
      <c r="I127" s="2" t="s">
        <v>12</v>
      </c>
      <c r="J127" s="4">
        <f t="shared" si="1"/>
        <v>6.041666666666667</v>
      </c>
    </row>
    <row r="128" spans="1:10" x14ac:dyDescent="0.3">
      <c r="A128" s="3" t="s">
        <v>29</v>
      </c>
      <c r="B128" s="2" t="s">
        <v>19</v>
      </c>
      <c r="C128" s="2" t="s">
        <v>25</v>
      </c>
      <c r="D128" s="14">
        <v>80</v>
      </c>
      <c r="E128" s="14">
        <v>90</v>
      </c>
      <c r="F128" s="2">
        <v>5</v>
      </c>
      <c r="G128" s="2">
        <v>249</v>
      </c>
      <c r="H128" s="14">
        <v>21165</v>
      </c>
      <c r="I128" s="2" t="s">
        <v>12</v>
      </c>
      <c r="J128" s="4">
        <f t="shared" si="1"/>
        <v>3.4375</v>
      </c>
    </row>
    <row r="129" spans="1:10" x14ac:dyDescent="0.3">
      <c r="A129" s="3" t="s">
        <v>31</v>
      </c>
      <c r="B129" s="2" t="s">
        <v>32</v>
      </c>
      <c r="C129" s="2" t="s">
        <v>17</v>
      </c>
      <c r="D129" s="14">
        <v>84</v>
      </c>
      <c r="E129" s="14">
        <v>84</v>
      </c>
      <c r="F129" s="2">
        <v>10</v>
      </c>
      <c r="G129" s="2">
        <v>272</v>
      </c>
      <c r="H129" s="14">
        <v>20128</v>
      </c>
      <c r="I129" s="2" t="s">
        <v>12</v>
      </c>
      <c r="J129" s="4">
        <f t="shared" si="1"/>
        <v>5.8695652173913047</v>
      </c>
    </row>
    <row r="130" spans="1:10" x14ac:dyDescent="0.3">
      <c r="A130" s="3" t="s">
        <v>26</v>
      </c>
      <c r="B130" s="2" t="s">
        <v>27</v>
      </c>
      <c r="C130" s="2" t="s">
        <v>25</v>
      </c>
      <c r="D130" s="14">
        <v>94</v>
      </c>
      <c r="E130" s="14">
        <v>94</v>
      </c>
      <c r="F130" s="2">
        <v>5</v>
      </c>
      <c r="G130" s="2">
        <v>219</v>
      </c>
      <c r="H130" s="14">
        <v>19491</v>
      </c>
      <c r="I130" s="2" t="s">
        <v>14</v>
      </c>
      <c r="J130" s="4">
        <f t="shared" si="1"/>
        <v>4.0909090909090908</v>
      </c>
    </row>
    <row r="131" spans="1:10" x14ac:dyDescent="0.3">
      <c r="A131" s="3" t="s">
        <v>26</v>
      </c>
      <c r="B131" s="2" t="s">
        <v>27</v>
      </c>
      <c r="C131" s="2" t="s">
        <v>24</v>
      </c>
      <c r="D131" s="14">
        <v>88</v>
      </c>
      <c r="E131" s="14">
        <v>103</v>
      </c>
      <c r="F131" s="2">
        <v>0</v>
      </c>
      <c r="G131" s="2">
        <v>237</v>
      </c>
      <c r="H131" s="14">
        <v>24411</v>
      </c>
      <c r="I131" s="2" t="s">
        <v>14</v>
      </c>
      <c r="J131" s="4">
        <f t="shared" ref="J131:J194" si="2">AVERAGEIF(B131:B430, B131, F131:F430)</f>
        <v>4.0476190476190474</v>
      </c>
    </row>
    <row r="132" spans="1:10" x14ac:dyDescent="0.3">
      <c r="A132" s="3" t="s">
        <v>22</v>
      </c>
      <c r="B132" s="2" t="s">
        <v>23</v>
      </c>
      <c r="C132" s="2" t="s">
        <v>13</v>
      </c>
      <c r="D132" s="14">
        <v>169</v>
      </c>
      <c r="E132" s="14">
        <v>184</v>
      </c>
      <c r="F132" s="2">
        <v>10</v>
      </c>
      <c r="G132" s="2">
        <v>267</v>
      </c>
      <c r="H132" s="14">
        <v>46458</v>
      </c>
      <c r="I132" s="2" t="s">
        <v>12</v>
      </c>
      <c r="J132" s="4">
        <f t="shared" si="2"/>
        <v>5.833333333333333</v>
      </c>
    </row>
    <row r="133" spans="1:10" x14ac:dyDescent="0.3">
      <c r="A133" s="3" t="s">
        <v>28</v>
      </c>
      <c r="B133" s="2" t="s">
        <v>10</v>
      </c>
      <c r="C133" s="2" t="s">
        <v>21</v>
      </c>
      <c r="D133" s="14">
        <v>101</v>
      </c>
      <c r="E133" s="14">
        <v>101</v>
      </c>
      <c r="F133" s="2">
        <v>0</v>
      </c>
      <c r="G133" s="2">
        <v>107</v>
      </c>
      <c r="H133" s="14">
        <v>10807</v>
      </c>
      <c r="I133" s="2" t="s">
        <v>12</v>
      </c>
      <c r="J133" s="4">
        <f t="shared" si="2"/>
        <v>4.7872340425531918</v>
      </c>
    </row>
    <row r="134" spans="1:10" x14ac:dyDescent="0.3">
      <c r="A134" s="3" t="s">
        <v>20</v>
      </c>
      <c r="B134" s="2" t="s">
        <v>16</v>
      </c>
      <c r="C134" s="2" t="s">
        <v>17</v>
      </c>
      <c r="D134" s="14">
        <v>141</v>
      </c>
      <c r="E134" s="14">
        <v>141</v>
      </c>
      <c r="F134" s="2">
        <v>0</v>
      </c>
      <c r="G134" s="2">
        <v>150</v>
      </c>
      <c r="H134" s="14">
        <v>21150</v>
      </c>
      <c r="I134" s="2" t="s">
        <v>14</v>
      </c>
      <c r="J134" s="4">
        <f t="shared" si="2"/>
        <v>4.375</v>
      </c>
    </row>
    <row r="135" spans="1:10" x14ac:dyDescent="0.3">
      <c r="A135" s="3" t="s">
        <v>20</v>
      </c>
      <c r="B135" s="2" t="s">
        <v>16</v>
      </c>
      <c r="C135" s="2" t="s">
        <v>17</v>
      </c>
      <c r="D135" s="14">
        <v>78</v>
      </c>
      <c r="E135" s="14">
        <v>93</v>
      </c>
      <c r="F135" s="2">
        <v>0</v>
      </c>
      <c r="G135" s="2">
        <v>255</v>
      </c>
      <c r="H135" s="14">
        <v>23715</v>
      </c>
      <c r="I135" s="2" t="s">
        <v>12</v>
      </c>
      <c r="J135" s="4">
        <f t="shared" si="2"/>
        <v>4.5161290322580649</v>
      </c>
    </row>
    <row r="136" spans="1:10" x14ac:dyDescent="0.3">
      <c r="A136" s="3" t="s">
        <v>9</v>
      </c>
      <c r="B136" s="2" t="s">
        <v>10</v>
      </c>
      <c r="C136" s="2" t="s">
        <v>11</v>
      </c>
      <c r="D136" s="14">
        <v>181</v>
      </c>
      <c r="E136" s="14">
        <v>186</v>
      </c>
      <c r="F136" s="2">
        <v>5</v>
      </c>
      <c r="G136" s="2">
        <v>88</v>
      </c>
      <c r="H136" s="14">
        <v>15928</v>
      </c>
      <c r="I136" s="2" t="s">
        <v>12</v>
      </c>
      <c r="J136" s="4">
        <f t="shared" si="2"/>
        <v>4.8913043478260869</v>
      </c>
    </row>
    <row r="137" spans="1:10" x14ac:dyDescent="0.3">
      <c r="A137" s="3" t="s">
        <v>30</v>
      </c>
      <c r="B137" s="2" t="s">
        <v>10</v>
      </c>
      <c r="C137" s="2" t="s">
        <v>11</v>
      </c>
      <c r="D137" s="14">
        <v>134</v>
      </c>
      <c r="E137" s="14">
        <v>144</v>
      </c>
      <c r="F137" s="2">
        <v>0</v>
      </c>
      <c r="G137" s="2">
        <v>206</v>
      </c>
      <c r="H137" s="14">
        <v>29664</v>
      </c>
      <c r="I137" s="2" t="s">
        <v>12</v>
      </c>
      <c r="J137" s="4">
        <f t="shared" si="2"/>
        <v>4.8888888888888893</v>
      </c>
    </row>
    <row r="138" spans="1:10" x14ac:dyDescent="0.3">
      <c r="A138" s="3" t="s">
        <v>18</v>
      </c>
      <c r="B138" s="2" t="s">
        <v>19</v>
      </c>
      <c r="C138" s="2" t="s">
        <v>25</v>
      </c>
      <c r="D138" s="14">
        <v>147</v>
      </c>
      <c r="E138" s="14">
        <v>152</v>
      </c>
      <c r="F138" s="2">
        <v>10</v>
      </c>
      <c r="G138" s="2">
        <v>122</v>
      </c>
      <c r="H138" s="14">
        <v>17324</v>
      </c>
      <c r="I138" s="2" t="s">
        <v>14</v>
      </c>
      <c r="J138" s="4">
        <f t="shared" si="2"/>
        <v>3.3870967741935485</v>
      </c>
    </row>
    <row r="139" spans="1:10" x14ac:dyDescent="0.3">
      <c r="A139" s="3" t="s">
        <v>31</v>
      </c>
      <c r="B139" s="2" t="s">
        <v>32</v>
      </c>
      <c r="C139" s="2" t="s">
        <v>13</v>
      </c>
      <c r="D139" s="14">
        <v>27</v>
      </c>
      <c r="E139" s="14">
        <v>42</v>
      </c>
      <c r="F139" s="2">
        <v>10</v>
      </c>
      <c r="G139" s="2">
        <v>296</v>
      </c>
      <c r="H139" s="14">
        <v>9472</v>
      </c>
      <c r="I139" s="2" t="s">
        <v>12</v>
      </c>
      <c r="J139" s="4">
        <f t="shared" si="2"/>
        <v>5.6818181818181817</v>
      </c>
    </row>
    <row r="140" spans="1:10" x14ac:dyDescent="0.3">
      <c r="A140" s="3" t="s">
        <v>31</v>
      </c>
      <c r="B140" s="2" t="s">
        <v>32</v>
      </c>
      <c r="C140" s="2" t="s">
        <v>21</v>
      </c>
      <c r="D140" s="14">
        <v>97</v>
      </c>
      <c r="E140" s="14">
        <v>107</v>
      </c>
      <c r="F140" s="2">
        <v>0</v>
      </c>
      <c r="G140" s="2">
        <v>55</v>
      </c>
      <c r="H140" s="14">
        <v>5885</v>
      </c>
      <c r="I140" s="2" t="s">
        <v>14</v>
      </c>
      <c r="J140" s="4">
        <f t="shared" si="2"/>
        <v>5.4761904761904763</v>
      </c>
    </row>
    <row r="141" spans="1:10" x14ac:dyDescent="0.3">
      <c r="A141" s="3" t="s">
        <v>29</v>
      </c>
      <c r="B141" s="2" t="s">
        <v>19</v>
      </c>
      <c r="C141" s="2" t="s">
        <v>24</v>
      </c>
      <c r="D141" s="14">
        <v>183</v>
      </c>
      <c r="E141" s="14">
        <v>183</v>
      </c>
      <c r="F141" s="2">
        <v>0</v>
      </c>
      <c r="G141" s="2">
        <v>132</v>
      </c>
      <c r="H141" s="14">
        <v>24156</v>
      </c>
      <c r="I141" s="2" t="s">
        <v>12</v>
      </c>
      <c r="J141" s="4">
        <f t="shared" si="2"/>
        <v>3.1666666666666665</v>
      </c>
    </row>
    <row r="142" spans="1:10" x14ac:dyDescent="0.3">
      <c r="A142" s="3" t="s">
        <v>29</v>
      </c>
      <c r="B142" s="2" t="s">
        <v>19</v>
      </c>
      <c r="C142" s="2" t="s">
        <v>25</v>
      </c>
      <c r="D142" s="14">
        <v>187</v>
      </c>
      <c r="E142" s="14">
        <v>202</v>
      </c>
      <c r="F142" s="2">
        <v>0</v>
      </c>
      <c r="G142" s="2">
        <v>124</v>
      </c>
      <c r="H142" s="14">
        <v>25048</v>
      </c>
      <c r="I142" s="2" t="s">
        <v>14</v>
      </c>
      <c r="J142" s="4">
        <f t="shared" si="2"/>
        <v>3.2758620689655173</v>
      </c>
    </row>
    <row r="143" spans="1:10" x14ac:dyDescent="0.3">
      <c r="A143" s="3" t="s">
        <v>30</v>
      </c>
      <c r="B143" s="2" t="s">
        <v>10</v>
      </c>
      <c r="C143" s="2" t="s">
        <v>11</v>
      </c>
      <c r="D143" s="14">
        <v>64</v>
      </c>
      <c r="E143" s="14">
        <v>64</v>
      </c>
      <c r="F143" s="2">
        <v>10</v>
      </c>
      <c r="G143" s="2">
        <v>87</v>
      </c>
      <c r="H143" s="14">
        <v>4698</v>
      </c>
      <c r="I143" s="2" t="s">
        <v>12</v>
      </c>
      <c r="J143" s="4">
        <f t="shared" si="2"/>
        <v>5</v>
      </c>
    </row>
    <row r="144" spans="1:10" x14ac:dyDescent="0.3">
      <c r="A144" s="3" t="s">
        <v>30</v>
      </c>
      <c r="B144" s="2" t="s">
        <v>10</v>
      </c>
      <c r="C144" s="2" t="s">
        <v>17</v>
      </c>
      <c r="D144" s="14">
        <v>60</v>
      </c>
      <c r="E144" s="14">
        <v>65</v>
      </c>
      <c r="F144" s="2">
        <v>0</v>
      </c>
      <c r="G144" s="2">
        <v>246</v>
      </c>
      <c r="H144" s="14">
        <v>15990</v>
      </c>
      <c r="I144" s="2" t="s">
        <v>14</v>
      </c>
      <c r="J144" s="4">
        <f t="shared" si="2"/>
        <v>4.8837209302325579</v>
      </c>
    </row>
    <row r="145" spans="1:10" x14ac:dyDescent="0.3">
      <c r="A145" s="3" t="s">
        <v>9</v>
      </c>
      <c r="B145" s="2" t="s">
        <v>10</v>
      </c>
      <c r="C145" s="2" t="s">
        <v>13</v>
      </c>
      <c r="D145" s="14">
        <v>81</v>
      </c>
      <c r="E145" s="14">
        <v>96</v>
      </c>
      <c r="F145" s="2">
        <v>5</v>
      </c>
      <c r="G145" s="2">
        <v>188</v>
      </c>
      <c r="H145" s="14">
        <v>17108</v>
      </c>
      <c r="I145" s="2" t="s">
        <v>12</v>
      </c>
      <c r="J145" s="4">
        <f t="shared" si="2"/>
        <v>5</v>
      </c>
    </row>
    <row r="146" spans="1:10" x14ac:dyDescent="0.3">
      <c r="A146" s="3" t="s">
        <v>18</v>
      </c>
      <c r="B146" s="2" t="s">
        <v>19</v>
      </c>
      <c r="C146" s="2" t="s">
        <v>21</v>
      </c>
      <c r="D146" s="14">
        <v>48</v>
      </c>
      <c r="E146" s="14">
        <v>63</v>
      </c>
      <c r="F146" s="2">
        <v>0</v>
      </c>
      <c r="G146" s="2">
        <v>52</v>
      </c>
      <c r="H146" s="14">
        <v>3276</v>
      </c>
      <c r="I146" s="2" t="s">
        <v>12</v>
      </c>
      <c r="J146" s="4">
        <f t="shared" si="2"/>
        <v>3.3928571428571428</v>
      </c>
    </row>
    <row r="147" spans="1:10" x14ac:dyDescent="0.3">
      <c r="A147" s="3" t="s">
        <v>18</v>
      </c>
      <c r="B147" s="2" t="s">
        <v>19</v>
      </c>
      <c r="C147" s="2" t="s">
        <v>24</v>
      </c>
      <c r="D147" s="14">
        <v>44</v>
      </c>
      <c r="E147" s="14">
        <v>44</v>
      </c>
      <c r="F147" s="2">
        <v>5</v>
      </c>
      <c r="G147" s="2">
        <v>161</v>
      </c>
      <c r="H147" s="14">
        <v>6279</v>
      </c>
      <c r="I147" s="2" t="s">
        <v>14</v>
      </c>
      <c r="J147" s="4">
        <f t="shared" si="2"/>
        <v>3.5185185185185186</v>
      </c>
    </row>
    <row r="148" spans="1:10" x14ac:dyDescent="0.3">
      <c r="A148" s="3" t="s">
        <v>22</v>
      </c>
      <c r="B148" s="2" t="s">
        <v>23</v>
      </c>
      <c r="C148" s="2" t="s">
        <v>21</v>
      </c>
      <c r="D148" s="14">
        <v>173</v>
      </c>
      <c r="E148" s="14">
        <v>188</v>
      </c>
      <c r="F148" s="2">
        <v>5</v>
      </c>
      <c r="G148" s="2">
        <v>86</v>
      </c>
      <c r="H148" s="14">
        <v>15738</v>
      </c>
      <c r="I148" s="2" t="s">
        <v>14</v>
      </c>
      <c r="J148" s="4">
        <f t="shared" si="2"/>
        <v>5.5882352941176467</v>
      </c>
    </row>
    <row r="149" spans="1:10" x14ac:dyDescent="0.3">
      <c r="A149" s="3" t="s">
        <v>26</v>
      </c>
      <c r="B149" s="2" t="s">
        <v>27</v>
      </c>
      <c r="C149" s="2" t="s">
        <v>24</v>
      </c>
      <c r="D149" s="14">
        <v>42</v>
      </c>
      <c r="E149" s="14">
        <v>42</v>
      </c>
      <c r="F149" s="2">
        <v>10</v>
      </c>
      <c r="G149" s="2">
        <v>110</v>
      </c>
      <c r="H149" s="14">
        <v>3520</v>
      </c>
      <c r="I149" s="2" t="s">
        <v>12</v>
      </c>
      <c r="J149" s="4">
        <f t="shared" si="2"/>
        <v>4.25</v>
      </c>
    </row>
    <row r="150" spans="1:10" x14ac:dyDescent="0.3">
      <c r="A150" s="3" t="s">
        <v>30</v>
      </c>
      <c r="B150" s="2" t="s">
        <v>10</v>
      </c>
      <c r="C150" s="2" t="s">
        <v>21</v>
      </c>
      <c r="D150" s="14">
        <v>147</v>
      </c>
      <c r="E150" s="14">
        <v>147</v>
      </c>
      <c r="F150" s="2">
        <v>0</v>
      </c>
      <c r="G150" s="2">
        <v>284</v>
      </c>
      <c r="H150" s="14">
        <v>41748</v>
      </c>
      <c r="I150" s="2" t="s">
        <v>12</v>
      </c>
      <c r="J150" s="4">
        <f t="shared" si="2"/>
        <v>5</v>
      </c>
    </row>
    <row r="151" spans="1:10" x14ac:dyDescent="0.3">
      <c r="A151" s="3" t="s">
        <v>22</v>
      </c>
      <c r="B151" s="2" t="s">
        <v>23</v>
      </c>
      <c r="C151" s="2" t="s">
        <v>21</v>
      </c>
      <c r="D151" s="14">
        <v>44</v>
      </c>
      <c r="E151" s="14">
        <v>44</v>
      </c>
      <c r="F151" s="2">
        <v>10</v>
      </c>
      <c r="G151" s="2">
        <v>103</v>
      </c>
      <c r="H151" s="14">
        <v>3502</v>
      </c>
      <c r="I151" s="2" t="s">
        <v>12</v>
      </c>
      <c r="J151" s="4">
        <f t="shared" si="2"/>
        <v>5.625</v>
      </c>
    </row>
    <row r="152" spans="1:10" x14ac:dyDescent="0.3">
      <c r="A152" s="3" t="s">
        <v>29</v>
      </c>
      <c r="B152" s="2" t="s">
        <v>19</v>
      </c>
      <c r="C152" s="2" t="s">
        <v>21</v>
      </c>
      <c r="D152" s="14">
        <v>149</v>
      </c>
      <c r="E152" s="14">
        <v>159</v>
      </c>
      <c r="F152" s="2">
        <v>0</v>
      </c>
      <c r="G152" s="2">
        <v>93</v>
      </c>
      <c r="H152" s="14">
        <v>14787</v>
      </c>
      <c r="I152" s="2" t="s">
        <v>12</v>
      </c>
      <c r="J152" s="4">
        <f t="shared" si="2"/>
        <v>3.4615384615384617</v>
      </c>
    </row>
    <row r="153" spans="1:10" x14ac:dyDescent="0.3">
      <c r="A153" s="3" t="s">
        <v>15</v>
      </c>
      <c r="B153" s="2" t="s">
        <v>16</v>
      </c>
      <c r="C153" s="2" t="s">
        <v>11</v>
      </c>
      <c r="D153" s="14">
        <v>42</v>
      </c>
      <c r="E153" s="14">
        <v>57</v>
      </c>
      <c r="F153" s="2">
        <v>5</v>
      </c>
      <c r="G153" s="2">
        <v>241</v>
      </c>
      <c r="H153" s="14">
        <v>12532</v>
      </c>
      <c r="I153" s="2" t="s">
        <v>12</v>
      </c>
      <c r="J153" s="4">
        <f t="shared" si="2"/>
        <v>4.666666666666667</v>
      </c>
    </row>
    <row r="154" spans="1:10" x14ac:dyDescent="0.3">
      <c r="A154" s="3" t="s">
        <v>22</v>
      </c>
      <c r="B154" s="2" t="s">
        <v>23</v>
      </c>
      <c r="C154" s="2" t="s">
        <v>21</v>
      </c>
      <c r="D154" s="14">
        <v>134</v>
      </c>
      <c r="E154" s="14">
        <v>134</v>
      </c>
      <c r="F154" s="2">
        <v>5</v>
      </c>
      <c r="G154" s="2">
        <v>82</v>
      </c>
      <c r="H154" s="14">
        <v>10578</v>
      </c>
      <c r="I154" s="2" t="s">
        <v>14</v>
      </c>
      <c r="J154" s="4">
        <f t="shared" si="2"/>
        <v>5.333333333333333</v>
      </c>
    </row>
    <row r="155" spans="1:10" x14ac:dyDescent="0.3">
      <c r="A155" s="3" t="s">
        <v>18</v>
      </c>
      <c r="B155" s="2" t="s">
        <v>19</v>
      </c>
      <c r="C155" s="2" t="s">
        <v>21</v>
      </c>
      <c r="D155" s="14">
        <v>67</v>
      </c>
      <c r="E155" s="14">
        <v>77</v>
      </c>
      <c r="F155" s="2">
        <v>5</v>
      </c>
      <c r="G155" s="2">
        <v>93</v>
      </c>
      <c r="H155" s="14">
        <v>6696</v>
      </c>
      <c r="I155" s="2" t="s">
        <v>12</v>
      </c>
      <c r="J155" s="4">
        <f t="shared" si="2"/>
        <v>3.6</v>
      </c>
    </row>
    <row r="156" spans="1:10" x14ac:dyDescent="0.3">
      <c r="A156" s="3" t="s">
        <v>22</v>
      </c>
      <c r="B156" s="2" t="s">
        <v>23</v>
      </c>
      <c r="C156" s="2" t="s">
        <v>25</v>
      </c>
      <c r="D156" s="14">
        <v>198</v>
      </c>
      <c r="E156" s="14">
        <v>198</v>
      </c>
      <c r="F156" s="2">
        <v>10</v>
      </c>
      <c r="G156" s="2">
        <v>172</v>
      </c>
      <c r="H156" s="14">
        <v>32336</v>
      </c>
      <c r="I156" s="2" t="s">
        <v>12</v>
      </c>
      <c r="J156" s="4">
        <f t="shared" si="2"/>
        <v>5.3571428571428568</v>
      </c>
    </row>
    <row r="157" spans="1:10" x14ac:dyDescent="0.3">
      <c r="A157" s="3" t="s">
        <v>31</v>
      </c>
      <c r="B157" s="2" t="s">
        <v>32</v>
      </c>
      <c r="C157" s="2" t="s">
        <v>24</v>
      </c>
      <c r="D157" s="14">
        <v>141</v>
      </c>
      <c r="E157" s="14">
        <v>151</v>
      </c>
      <c r="F157" s="2">
        <v>5</v>
      </c>
      <c r="G157" s="2">
        <v>65</v>
      </c>
      <c r="H157" s="14">
        <v>9490</v>
      </c>
      <c r="I157" s="2" t="s">
        <v>14</v>
      </c>
      <c r="J157" s="4">
        <f t="shared" si="2"/>
        <v>5.75</v>
      </c>
    </row>
    <row r="158" spans="1:10" x14ac:dyDescent="0.3">
      <c r="A158" s="3" t="s">
        <v>26</v>
      </c>
      <c r="B158" s="2" t="s">
        <v>27</v>
      </c>
      <c r="C158" s="2" t="s">
        <v>13</v>
      </c>
      <c r="D158" s="14">
        <v>77</v>
      </c>
      <c r="E158" s="14">
        <v>77</v>
      </c>
      <c r="F158" s="2">
        <v>0</v>
      </c>
      <c r="G158" s="2">
        <v>89</v>
      </c>
      <c r="H158" s="14">
        <v>6853</v>
      </c>
      <c r="I158" s="2" t="s">
        <v>12</v>
      </c>
      <c r="J158" s="4">
        <f t="shared" si="2"/>
        <v>3.9473684210526314</v>
      </c>
    </row>
    <row r="159" spans="1:10" x14ac:dyDescent="0.3">
      <c r="A159" s="3" t="s">
        <v>22</v>
      </c>
      <c r="B159" s="2" t="s">
        <v>23</v>
      </c>
      <c r="C159" s="2" t="s">
        <v>21</v>
      </c>
      <c r="D159" s="14">
        <v>80</v>
      </c>
      <c r="E159" s="14">
        <v>80</v>
      </c>
      <c r="F159" s="2">
        <v>5</v>
      </c>
      <c r="G159" s="2">
        <v>297</v>
      </c>
      <c r="H159" s="14">
        <v>22275</v>
      </c>
      <c r="I159" s="2" t="s">
        <v>12</v>
      </c>
      <c r="J159" s="4">
        <f t="shared" si="2"/>
        <v>5</v>
      </c>
    </row>
    <row r="160" spans="1:10" x14ac:dyDescent="0.3">
      <c r="A160" s="3" t="s">
        <v>28</v>
      </c>
      <c r="B160" s="2" t="s">
        <v>10</v>
      </c>
      <c r="C160" s="2" t="s">
        <v>11</v>
      </c>
      <c r="D160" s="14">
        <v>128</v>
      </c>
      <c r="E160" s="14">
        <v>128</v>
      </c>
      <c r="F160" s="2">
        <v>5</v>
      </c>
      <c r="G160" s="2">
        <v>263</v>
      </c>
      <c r="H160" s="14">
        <v>32349</v>
      </c>
      <c r="I160" s="2" t="s">
        <v>14</v>
      </c>
      <c r="J160" s="4">
        <f t="shared" si="2"/>
        <v>5.125</v>
      </c>
    </row>
    <row r="161" spans="1:10" x14ac:dyDescent="0.3">
      <c r="A161" s="3" t="s">
        <v>20</v>
      </c>
      <c r="B161" s="2" t="s">
        <v>16</v>
      </c>
      <c r="C161" s="2" t="s">
        <v>11</v>
      </c>
      <c r="D161" s="14">
        <v>67</v>
      </c>
      <c r="E161" s="14">
        <v>82</v>
      </c>
      <c r="F161" s="2">
        <v>10</v>
      </c>
      <c r="G161" s="2">
        <v>258</v>
      </c>
      <c r="H161" s="14">
        <v>18576</v>
      </c>
      <c r="I161" s="2" t="s">
        <v>12</v>
      </c>
      <c r="J161" s="4">
        <f t="shared" si="2"/>
        <v>4.6551724137931032</v>
      </c>
    </row>
    <row r="162" spans="1:10" x14ac:dyDescent="0.3">
      <c r="A162" s="3" t="s">
        <v>29</v>
      </c>
      <c r="B162" s="2" t="s">
        <v>19</v>
      </c>
      <c r="C162" s="2" t="s">
        <v>24</v>
      </c>
      <c r="D162" s="14">
        <v>77</v>
      </c>
      <c r="E162" s="14">
        <v>82</v>
      </c>
      <c r="F162" s="2">
        <v>5</v>
      </c>
      <c r="G162" s="2">
        <v>87</v>
      </c>
      <c r="H162" s="14">
        <v>6699</v>
      </c>
      <c r="I162" s="2" t="s">
        <v>12</v>
      </c>
      <c r="J162" s="4">
        <f t="shared" si="2"/>
        <v>3.5416666666666665</v>
      </c>
    </row>
    <row r="163" spans="1:10" x14ac:dyDescent="0.3">
      <c r="A163" s="3" t="s">
        <v>9</v>
      </c>
      <c r="B163" s="2" t="s">
        <v>10</v>
      </c>
      <c r="C163" s="2" t="s">
        <v>21</v>
      </c>
      <c r="D163" s="14">
        <v>142</v>
      </c>
      <c r="E163" s="14">
        <v>152</v>
      </c>
      <c r="F163" s="2">
        <v>0</v>
      </c>
      <c r="G163" s="2">
        <v>184</v>
      </c>
      <c r="H163" s="14">
        <v>27968</v>
      </c>
      <c r="I163" s="2" t="s">
        <v>12</v>
      </c>
      <c r="J163" s="4">
        <f t="shared" si="2"/>
        <v>5.1282051282051286</v>
      </c>
    </row>
    <row r="164" spans="1:10" x14ac:dyDescent="0.3">
      <c r="A164" s="3" t="s">
        <v>15</v>
      </c>
      <c r="B164" s="2" t="s">
        <v>16</v>
      </c>
      <c r="C164" s="2" t="s">
        <v>25</v>
      </c>
      <c r="D164" s="14">
        <v>88</v>
      </c>
      <c r="E164" s="14">
        <v>103</v>
      </c>
      <c r="F164" s="2">
        <v>0</v>
      </c>
      <c r="G164" s="2">
        <v>56</v>
      </c>
      <c r="H164" s="14">
        <v>5768</v>
      </c>
      <c r="I164" s="2" t="s">
        <v>12</v>
      </c>
      <c r="J164" s="4">
        <f t="shared" si="2"/>
        <v>4.4642857142857144</v>
      </c>
    </row>
    <row r="165" spans="1:10" x14ac:dyDescent="0.3">
      <c r="A165" s="3" t="s">
        <v>9</v>
      </c>
      <c r="B165" s="2" t="s">
        <v>10</v>
      </c>
      <c r="C165" s="2" t="s">
        <v>17</v>
      </c>
      <c r="D165" s="14">
        <v>167</v>
      </c>
      <c r="E165" s="14">
        <v>172</v>
      </c>
      <c r="F165" s="2">
        <v>5</v>
      </c>
      <c r="G165" s="2">
        <v>252</v>
      </c>
      <c r="H165" s="14">
        <v>42084</v>
      </c>
      <c r="I165" s="2" t="s">
        <v>12</v>
      </c>
      <c r="J165" s="4">
        <f t="shared" si="2"/>
        <v>5.2631578947368425</v>
      </c>
    </row>
    <row r="166" spans="1:10" x14ac:dyDescent="0.3">
      <c r="A166" s="3" t="s">
        <v>20</v>
      </c>
      <c r="B166" s="2" t="s">
        <v>16</v>
      </c>
      <c r="C166" s="2" t="s">
        <v>17</v>
      </c>
      <c r="D166" s="14">
        <v>109</v>
      </c>
      <c r="E166" s="14">
        <v>119</v>
      </c>
      <c r="F166" s="2">
        <v>0</v>
      </c>
      <c r="G166" s="2">
        <v>161</v>
      </c>
      <c r="H166" s="14">
        <v>19159</v>
      </c>
      <c r="I166" s="2" t="s">
        <v>12</v>
      </c>
      <c r="J166" s="4">
        <f t="shared" si="2"/>
        <v>4.6296296296296298</v>
      </c>
    </row>
    <row r="167" spans="1:10" x14ac:dyDescent="0.3">
      <c r="A167" s="3" t="s">
        <v>31</v>
      </c>
      <c r="B167" s="2" t="s">
        <v>32</v>
      </c>
      <c r="C167" s="2" t="s">
        <v>21</v>
      </c>
      <c r="D167" s="14">
        <v>161</v>
      </c>
      <c r="E167" s="14">
        <v>171</v>
      </c>
      <c r="F167" s="2">
        <v>0</v>
      </c>
      <c r="G167" s="2">
        <v>226</v>
      </c>
      <c r="H167" s="14">
        <v>38646</v>
      </c>
      <c r="I167" s="2" t="s">
        <v>12</v>
      </c>
      <c r="J167" s="4">
        <f t="shared" si="2"/>
        <v>5.7894736842105265</v>
      </c>
    </row>
    <row r="168" spans="1:10" x14ac:dyDescent="0.3">
      <c r="A168" s="3" t="s">
        <v>20</v>
      </c>
      <c r="B168" s="2" t="s">
        <v>16</v>
      </c>
      <c r="C168" s="2" t="s">
        <v>21</v>
      </c>
      <c r="D168" s="14">
        <v>93</v>
      </c>
      <c r="E168" s="14">
        <v>108</v>
      </c>
      <c r="F168" s="2">
        <v>0</v>
      </c>
      <c r="G168" s="2">
        <v>107</v>
      </c>
      <c r="H168" s="14">
        <v>11556</v>
      </c>
      <c r="I168" s="2" t="s">
        <v>12</v>
      </c>
      <c r="J168" s="4">
        <f t="shared" si="2"/>
        <v>4.8076923076923075</v>
      </c>
    </row>
    <row r="169" spans="1:10" x14ac:dyDescent="0.3">
      <c r="A169" s="3" t="s">
        <v>30</v>
      </c>
      <c r="B169" s="2" t="s">
        <v>10</v>
      </c>
      <c r="C169" s="2" t="s">
        <v>13</v>
      </c>
      <c r="D169" s="14">
        <v>93</v>
      </c>
      <c r="E169" s="14">
        <v>93</v>
      </c>
      <c r="F169" s="2">
        <v>5</v>
      </c>
      <c r="G169" s="2">
        <v>106</v>
      </c>
      <c r="H169" s="14">
        <v>9328</v>
      </c>
      <c r="I169" s="2" t="s">
        <v>14</v>
      </c>
      <c r="J169" s="4">
        <f t="shared" si="2"/>
        <v>5.2702702702702702</v>
      </c>
    </row>
    <row r="170" spans="1:10" x14ac:dyDescent="0.3">
      <c r="A170" s="3" t="s">
        <v>9</v>
      </c>
      <c r="B170" s="2" t="s">
        <v>10</v>
      </c>
      <c r="C170" s="2" t="s">
        <v>17</v>
      </c>
      <c r="D170" s="14">
        <v>198</v>
      </c>
      <c r="E170" s="14">
        <v>203</v>
      </c>
      <c r="F170" s="2">
        <v>0</v>
      </c>
      <c r="G170" s="2">
        <v>188</v>
      </c>
      <c r="H170" s="14">
        <v>38164</v>
      </c>
      <c r="I170" s="2" t="s">
        <v>14</v>
      </c>
      <c r="J170" s="4">
        <f t="shared" si="2"/>
        <v>5.2777777777777777</v>
      </c>
    </row>
    <row r="171" spans="1:10" x14ac:dyDescent="0.3">
      <c r="A171" s="3" t="s">
        <v>18</v>
      </c>
      <c r="B171" s="2" t="s">
        <v>19</v>
      </c>
      <c r="C171" s="2" t="s">
        <v>21</v>
      </c>
      <c r="D171" s="14">
        <v>161</v>
      </c>
      <c r="E171" s="14">
        <v>161</v>
      </c>
      <c r="F171" s="2">
        <v>5</v>
      </c>
      <c r="G171" s="2">
        <v>211</v>
      </c>
      <c r="H171" s="14">
        <v>32916</v>
      </c>
      <c r="I171" s="2" t="s">
        <v>12</v>
      </c>
      <c r="J171" s="4">
        <f t="shared" si="2"/>
        <v>3.4782608695652173</v>
      </c>
    </row>
    <row r="172" spans="1:10" x14ac:dyDescent="0.3">
      <c r="A172" s="3" t="s">
        <v>9</v>
      </c>
      <c r="B172" s="2" t="s">
        <v>10</v>
      </c>
      <c r="C172" s="2" t="s">
        <v>25</v>
      </c>
      <c r="D172" s="14">
        <v>86</v>
      </c>
      <c r="E172" s="14">
        <v>91</v>
      </c>
      <c r="F172" s="2">
        <v>10</v>
      </c>
      <c r="G172" s="2">
        <v>70</v>
      </c>
      <c r="H172" s="14">
        <v>5670</v>
      </c>
      <c r="I172" s="2" t="s">
        <v>12</v>
      </c>
      <c r="J172" s="4">
        <f t="shared" si="2"/>
        <v>5.4285714285714288</v>
      </c>
    </row>
    <row r="173" spans="1:10" x14ac:dyDescent="0.3">
      <c r="A173" s="3" t="s">
        <v>30</v>
      </c>
      <c r="B173" s="2" t="s">
        <v>10</v>
      </c>
      <c r="C173" s="2" t="s">
        <v>25</v>
      </c>
      <c r="D173" s="14">
        <v>148</v>
      </c>
      <c r="E173" s="14">
        <v>163</v>
      </c>
      <c r="F173" s="2">
        <v>5</v>
      </c>
      <c r="G173" s="2">
        <v>79</v>
      </c>
      <c r="H173" s="14">
        <v>12482</v>
      </c>
      <c r="I173" s="2" t="s">
        <v>14</v>
      </c>
      <c r="J173" s="4">
        <f t="shared" si="2"/>
        <v>5.2941176470588234</v>
      </c>
    </row>
    <row r="174" spans="1:10" x14ac:dyDescent="0.3">
      <c r="A174" s="3" t="s">
        <v>15</v>
      </c>
      <c r="B174" s="2" t="s">
        <v>16</v>
      </c>
      <c r="C174" s="2" t="s">
        <v>24</v>
      </c>
      <c r="D174" s="14">
        <v>143</v>
      </c>
      <c r="E174" s="14">
        <v>153</v>
      </c>
      <c r="F174" s="2">
        <v>0</v>
      </c>
      <c r="G174" s="2">
        <v>299</v>
      </c>
      <c r="H174" s="14">
        <v>45747</v>
      </c>
      <c r="I174" s="2" t="s">
        <v>14</v>
      </c>
      <c r="J174" s="4">
        <f t="shared" si="2"/>
        <v>5</v>
      </c>
    </row>
    <row r="175" spans="1:10" x14ac:dyDescent="0.3">
      <c r="A175" s="3" t="s">
        <v>30</v>
      </c>
      <c r="B175" s="2" t="s">
        <v>10</v>
      </c>
      <c r="C175" s="2" t="s">
        <v>21</v>
      </c>
      <c r="D175" s="14">
        <v>71</v>
      </c>
      <c r="E175" s="14">
        <v>81</v>
      </c>
      <c r="F175" s="2">
        <v>0</v>
      </c>
      <c r="G175" s="2">
        <v>61</v>
      </c>
      <c r="H175" s="14">
        <v>4941</v>
      </c>
      <c r="I175" s="2" t="s">
        <v>12</v>
      </c>
      <c r="J175" s="4">
        <f t="shared" si="2"/>
        <v>5.3030303030303028</v>
      </c>
    </row>
    <row r="176" spans="1:10" x14ac:dyDescent="0.3">
      <c r="A176" s="3" t="s">
        <v>31</v>
      </c>
      <c r="B176" s="2" t="s">
        <v>32</v>
      </c>
      <c r="C176" s="2" t="s">
        <v>13</v>
      </c>
      <c r="D176" s="14">
        <v>151</v>
      </c>
      <c r="E176" s="14">
        <v>151</v>
      </c>
      <c r="F176" s="2">
        <v>10</v>
      </c>
      <c r="G176" s="2">
        <v>219</v>
      </c>
      <c r="H176" s="14">
        <v>30879</v>
      </c>
      <c r="I176" s="2" t="s">
        <v>12</v>
      </c>
      <c r="J176" s="4">
        <f t="shared" si="2"/>
        <v>6.1111111111111107</v>
      </c>
    </row>
    <row r="177" spans="1:10" x14ac:dyDescent="0.3">
      <c r="A177" s="3" t="s">
        <v>30</v>
      </c>
      <c r="B177" s="2" t="s">
        <v>10</v>
      </c>
      <c r="C177" s="2" t="s">
        <v>13</v>
      </c>
      <c r="D177" s="14">
        <v>196</v>
      </c>
      <c r="E177" s="14">
        <v>201</v>
      </c>
      <c r="F177" s="2">
        <v>10</v>
      </c>
      <c r="G177" s="2">
        <v>112</v>
      </c>
      <c r="H177" s="14">
        <v>21392</v>
      </c>
      <c r="I177" s="2" t="s">
        <v>14</v>
      </c>
      <c r="J177" s="4">
        <f t="shared" si="2"/>
        <v>5.46875</v>
      </c>
    </row>
    <row r="178" spans="1:10" x14ac:dyDescent="0.3">
      <c r="A178" s="3" t="s">
        <v>18</v>
      </c>
      <c r="B178" s="2" t="s">
        <v>19</v>
      </c>
      <c r="C178" s="2" t="s">
        <v>21</v>
      </c>
      <c r="D178" s="14">
        <v>160</v>
      </c>
      <c r="E178" s="14">
        <v>175</v>
      </c>
      <c r="F178" s="2">
        <v>0</v>
      </c>
      <c r="G178" s="2">
        <v>56</v>
      </c>
      <c r="H178" s="14">
        <v>9800</v>
      </c>
      <c r="I178" s="2" t="s">
        <v>14</v>
      </c>
      <c r="J178" s="4">
        <f t="shared" si="2"/>
        <v>3.4090909090909092</v>
      </c>
    </row>
    <row r="179" spans="1:10" x14ac:dyDescent="0.3">
      <c r="A179" s="3" t="s">
        <v>26</v>
      </c>
      <c r="B179" s="2" t="s">
        <v>27</v>
      </c>
      <c r="C179" s="2" t="s">
        <v>21</v>
      </c>
      <c r="D179" s="14">
        <v>115</v>
      </c>
      <c r="E179" s="14">
        <v>120</v>
      </c>
      <c r="F179" s="2">
        <v>0</v>
      </c>
      <c r="G179" s="2">
        <v>226</v>
      </c>
      <c r="H179" s="14">
        <v>27120</v>
      </c>
      <c r="I179" s="2" t="s">
        <v>12</v>
      </c>
      <c r="J179" s="4">
        <f t="shared" si="2"/>
        <v>4.166666666666667</v>
      </c>
    </row>
    <row r="180" spans="1:10" x14ac:dyDescent="0.3">
      <c r="A180" s="3" t="s">
        <v>9</v>
      </c>
      <c r="B180" s="2" t="s">
        <v>10</v>
      </c>
      <c r="C180" s="2" t="s">
        <v>17</v>
      </c>
      <c r="D180" s="14">
        <v>92</v>
      </c>
      <c r="E180" s="14">
        <v>102</v>
      </c>
      <c r="F180" s="2">
        <v>10</v>
      </c>
      <c r="G180" s="2">
        <v>99</v>
      </c>
      <c r="H180" s="14">
        <v>9108</v>
      </c>
      <c r="I180" s="2" t="s">
        <v>14</v>
      </c>
      <c r="J180" s="4">
        <f t="shared" si="2"/>
        <v>5.32258064516129</v>
      </c>
    </row>
    <row r="181" spans="1:10" x14ac:dyDescent="0.3">
      <c r="A181" s="3" t="s">
        <v>31</v>
      </c>
      <c r="B181" s="2" t="s">
        <v>32</v>
      </c>
      <c r="C181" s="2" t="s">
        <v>25</v>
      </c>
      <c r="D181" s="14">
        <v>107</v>
      </c>
      <c r="E181" s="14">
        <v>112</v>
      </c>
      <c r="F181" s="2">
        <v>5</v>
      </c>
      <c r="G181" s="2">
        <v>117</v>
      </c>
      <c r="H181" s="14">
        <v>12519</v>
      </c>
      <c r="I181" s="2" t="s">
        <v>12</v>
      </c>
      <c r="J181" s="4">
        <f t="shared" si="2"/>
        <v>5.882352941176471</v>
      </c>
    </row>
    <row r="182" spans="1:10" x14ac:dyDescent="0.3">
      <c r="A182" s="3" t="s">
        <v>30</v>
      </c>
      <c r="B182" s="2" t="s">
        <v>10</v>
      </c>
      <c r="C182" s="2" t="s">
        <v>13</v>
      </c>
      <c r="D182" s="14">
        <v>88</v>
      </c>
      <c r="E182" s="14">
        <v>98</v>
      </c>
      <c r="F182" s="2">
        <v>5</v>
      </c>
      <c r="G182" s="2">
        <v>259</v>
      </c>
      <c r="H182" s="14">
        <v>24087</v>
      </c>
      <c r="I182" s="2" t="s">
        <v>12</v>
      </c>
      <c r="J182" s="4">
        <f t="shared" si="2"/>
        <v>5.166666666666667</v>
      </c>
    </row>
    <row r="183" spans="1:10" x14ac:dyDescent="0.3">
      <c r="A183" s="3" t="s">
        <v>18</v>
      </c>
      <c r="B183" s="2" t="s">
        <v>19</v>
      </c>
      <c r="C183" s="2" t="s">
        <v>13</v>
      </c>
      <c r="D183" s="14">
        <v>113</v>
      </c>
      <c r="E183" s="14">
        <v>113</v>
      </c>
      <c r="F183" s="2">
        <v>0</v>
      </c>
      <c r="G183" s="2">
        <v>114</v>
      </c>
      <c r="H183" s="14">
        <v>12882</v>
      </c>
      <c r="I183" s="2" t="s">
        <v>12</v>
      </c>
      <c r="J183" s="4">
        <f t="shared" si="2"/>
        <v>3.5714285714285716</v>
      </c>
    </row>
    <row r="184" spans="1:10" x14ac:dyDescent="0.3">
      <c r="A184" s="3" t="s">
        <v>15</v>
      </c>
      <c r="B184" s="2" t="s">
        <v>16</v>
      </c>
      <c r="C184" s="2" t="s">
        <v>24</v>
      </c>
      <c r="D184" s="14">
        <v>54</v>
      </c>
      <c r="E184" s="14">
        <v>54</v>
      </c>
      <c r="F184" s="2">
        <v>5</v>
      </c>
      <c r="G184" s="2">
        <v>141</v>
      </c>
      <c r="H184" s="14">
        <v>6909</v>
      </c>
      <c r="I184" s="2" t="s">
        <v>14</v>
      </c>
      <c r="J184" s="4">
        <f t="shared" si="2"/>
        <v>5.208333333333333</v>
      </c>
    </row>
    <row r="185" spans="1:10" x14ac:dyDescent="0.3">
      <c r="A185" s="3" t="s">
        <v>15</v>
      </c>
      <c r="B185" s="2" t="s">
        <v>16</v>
      </c>
      <c r="C185" s="2" t="s">
        <v>24</v>
      </c>
      <c r="D185" s="14">
        <v>173</v>
      </c>
      <c r="E185" s="14">
        <v>178</v>
      </c>
      <c r="F185" s="2">
        <v>10</v>
      </c>
      <c r="G185" s="2">
        <v>159</v>
      </c>
      <c r="H185" s="14">
        <v>26712</v>
      </c>
      <c r="I185" s="2" t="s">
        <v>12</v>
      </c>
      <c r="J185" s="4">
        <f t="shared" si="2"/>
        <v>5.2173913043478262</v>
      </c>
    </row>
    <row r="186" spans="1:10" x14ac:dyDescent="0.3">
      <c r="A186" s="3" t="s">
        <v>9</v>
      </c>
      <c r="B186" s="2" t="s">
        <v>10</v>
      </c>
      <c r="C186" s="2" t="s">
        <v>21</v>
      </c>
      <c r="D186" s="14">
        <v>75</v>
      </c>
      <c r="E186" s="14">
        <v>90</v>
      </c>
      <c r="F186" s="2">
        <v>10</v>
      </c>
      <c r="G186" s="2">
        <v>100</v>
      </c>
      <c r="H186" s="14">
        <v>8000</v>
      </c>
      <c r="I186" s="2" t="s">
        <v>14</v>
      </c>
      <c r="J186" s="4">
        <f t="shared" si="2"/>
        <v>5.1724137931034484</v>
      </c>
    </row>
    <row r="187" spans="1:10" x14ac:dyDescent="0.3">
      <c r="A187" s="3" t="s">
        <v>30</v>
      </c>
      <c r="B187" s="2" t="s">
        <v>10</v>
      </c>
      <c r="C187" s="2" t="s">
        <v>11</v>
      </c>
      <c r="D187" s="14">
        <v>48</v>
      </c>
      <c r="E187" s="14">
        <v>58</v>
      </c>
      <c r="F187" s="2">
        <v>5</v>
      </c>
      <c r="G187" s="2">
        <v>112</v>
      </c>
      <c r="H187" s="14">
        <v>5936</v>
      </c>
      <c r="I187" s="2" t="s">
        <v>12</v>
      </c>
      <c r="J187" s="4">
        <f t="shared" si="2"/>
        <v>5</v>
      </c>
    </row>
    <row r="188" spans="1:10" x14ac:dyDescent="0.3">
      <c r="A188" s="3" t="s">
        <v>28</v>
      </c>
      <c r="B188" s="2" t="s">
        <v>10</v>
      </c>
      <c r="C188" s="2" t="s">
        <v>25</v>
      </c>
      <c r="D188" s="14">
        <v>34</v>
      </c>
      <c r="E188" s="14">
        <v>44</v>
      </c>
      <c r="F188" s="2">
        <v>0</v>
      </c>
      <c r="G188" s="2">
        <v>284</v>
      </c>
      <c r="H188" s="14">
        <v>12496</v>
      </c>
      <c r="I188" s="2" t="s">
        <v>12</v>
      </c>
      <c r="J188" s="4">
        <f t="shared" si="2"/>
        <v>5</v>
      </c>
    </row>
    <row r="189" spans="1:10" x14ac:dyDescent="0.3">
      <c r="A189" s="3" t="s">
        <v>22</v>
      </c>
      <c r="B189" s="2" t="s">
        <v>23</v>
      </c>
      <c r="C189" s="2" t="s">
        <v>17</v>
      </c>
      <c r="D189" s="14">
        <v>93</v>
      </c>
      <c r="E189" s="14">
        <v>103</v>
      </c>
      <c r="F189" s="2">
        <v>10</v>
      </c>
      <c r="G189" s="2">
        <v>103</v>
      </c>
      <c r="H189" s="14">
        <v>9579</v>
      </c>
      <c r="I189" s="2" t="s">
        <v>12</v>
      </c>
      <c r="J189" s="4">
        <f t="shared" si="2"/>
        <v>5</v>
      </c>
    </row>
    <row r="190" spans="1:10" x14ac:dyDescent="0.3">
      <c r="A190" s="3" t="s">
        <v>18</v>
      </c>
      <c r="B190" s="2" t="s">
        <v>19</v>
      </c>
      <c r="C190" s="2" t="s">
        <v>13</v>
      </c>
      <c r="D190" s="14">
        <v>55</v>
      </c>
      <c r="E190" s="14">
        <v>55</v>
      </c>
      <c r="F190" s="2">
        <v>0</v>
      </c>
      <c r="G190" s="2">
        <v>271</v>
      </c>
      <c r="H190" s="14">
        <v>14905</v>
      </c>
      <c r="I190" s="2" t="s">
        <v>12</v>
      </c>
      <c r="J190" s="4">
        <f t="shared" si="2"/>
        <v>3.75</v>
      </c>
    </row>
    <row r="191" spans="1:10" x14ac:dyDescent="0.3">
      <c r="A191" s="3" t="s">
        <v>30</v>
      </c>
      <c r="B191" s="2" t="s">
        <v>10</v>
      </c>
      <c r="C191" s="2" t="s">
        <v>24</v>
      </c>
      <c r="D191" s="14">
        <v>36</v>
      </c>
      <c r="E191" s="14">
        <v>51</v>
      </c>
      <c r="F191" s="2">
        <v>10</v>
      </c>
      <c r="G191" s="2">
        <v>139</v>
      </c>
      <c r="H191" s="14">
        <v>5699</v>
      </c>
      <c r="I191" s="2" t="s">
        <v>12</v>
      </c>
      <c r="J191" s="4">
        <f t="shared" si="2"/>
        <v>5.1923076923076925</v>
      </c>
    </row>
    <row r="192" spans="1:10" x14ac:dyDescent="0.3">
      <c r="A192" s="3" t="s">
        <v>28</v>
      </c>
      <c r="B192" s="2" t="s">
        <v>10</v>
      </c>
      <c r="C192" s="2" t="s">
        <v>25</v>
      </c>
      <c r="D192" s="14">
        <v>41</v>
      </c>
      <c r="E192" s="14">
        <v>51</v>
      </c>
      <c r="F192" s="2">
        <v>10</v>
      </c>
      <c r="G192" s="2">
        <v>123</v>
      </c>
      <c r="H192" s="14">
        <v>5043</v>
      </c>
      <c r="I192" s="2" t="s">
        <v>14</v>
      </c>
      <c r="J192" s="4">
        <f t="shared" si="2"/>
        <v>5</v>
      </c>
    </row>
    <row r="193" spans="1:10" x14ac:dyDescent="0.3">
      <c r="A193" s="3" t="s">
        <v>18</v>
      </c>
      <c r="B193" s="2" t="s">
        <v>19</v>
      </c>
      <c r="C193" s="2" t="s">
        <v>17</v>
      </c>
      <c r="D193" s="14">
        <v>162</v>
      </c>
      <c r="E193" s="14">
        <v>172</v>
      </c>
      <c r="F193" s="2">
        <v>5</v>
      </c>
      <c r="G193" s="2">
        <v>184</v>
      </c>
      <c r="H193" s="14">
        <v>30728</v>
      </c>
      <c r="I193" s="2" t="s">
        <v>12</v>
      </c>
      <c r="J193" s="4">
        <f t="shared" si="2"/>
        <v>3.9473684210526314</v>
      </c>
    </row>
    <row r="194" spans="1:10" x14ac:dyDescent="0.3">
      <c r="A194" s="3" t="s">
        <v>18</v>
      </c>
      <c r="B194" s="2" t="s">
        <v>19</v>
      </c>
      <c r="C194" s="2" t="s">
        <v>13</v>
      </c>
      <c r="D194" s="14">
        <v>146</v>
      </c>
      <c r="E194" s="14">
        <v>151</v>
      </c>
      <c r="F194" s="2">
        <v>0</v>
      </c>
      <c r="G194" s="2">
        <v>273</v>
      </c>
      <c r="H194" s="14">
        <v>41223</v>
      </c>
      <c r="I194" s="2" t="s">
        <v>14</v>
      </c>
      <c r="J194" s="4">
        <f t="shared" si="2"/>
        <v>3.8888888888888888</v>
      </c>
    </row>
    <row r="195" spans="1:10" x14ac:dyDescent="0.3">
      <c r="A195" s="3" t="s">
        <v>20</v>
      </c>
      <c r="B195" s="2" t="s">
        <v>16</v>
      </c>
      <c r="C195" s="2" t="s">
        <v>13</v>
      </c>
      <c r="D195" s="14">
        <v>41</v>
      </c>
      <c r="E195" s="14">
        <v>41</v>
      </c>
      <c r="F195" s="2">
        <v>10</v>
      </c>
      <c r="G195" s="2">
        <v>152</v>
      </c>
      <c r="H195" s="14">
        <v>4712</v>
      </c>
      <c r="I195" s="2" t="s">
        <v>12</v>
      </c>
      <c r="J195" s="4">
        <f t="shared" ref="J195:J258" si="3">AVERAGEIF(B195:B494, B195, F195:F494)</f>
        <v>5</v>
      </c>
    </row>
    <row r="196" spans="1:10" x14ac:dyDescent="0.3">
      <c r="A196" s="3" t="s">
        <v>29</v>
      </c>
      <c r="B196" s="2" t="s">
        <v>19</v>
      </c>
      <c r="C196" s="2" t="s">
        <v>11</v>
      </c>
      <c r="D196" s="14">
        <v>74</v>
      </c>
      <c r="E196" s="14">
        <v>84</v>
      </c>
      <c r="F196" s="2">
        <v>10</v>
      </c>
      <c r="G196" s="2">
        <v>197</v>
      </c>
      <c r="H196" s="14">
        <v>14578</v>
      </c>
      <c r="I196" s="2" t="s">
        <v>12</v>
      </c>
      <c r="J196" s="4">
        <f t="shared" si="3"/>
        <v>4.117647058823529</v>
      </c>
    </row>
    <row r="197" spans="1:10" x14ac:dyDescent="0.3">
      <c r="A197" s="3" t="s">
        <v>26</v>
      </c>
      <c r="B197" s="2" t="s">
        <v>27</v>
      </c>
      <c r="C197" s="2" t="s">
        <v>11</v>
      </c>
      <c r="D197" s="14">
        <v>153</v>
      </c>
      <c r="E197" s="14">
        <v>163</v>
      </c>
      <c r="F197" s="2">
        <v>5</v>
      </c>
      <c r="G197" s="2">
        <v>143</v>
      </c>
      <c r="H197" s="14">
        <v>22594</v>
      </c>
      <c r="I197" s="2" t="s">
        <v>12</v>
      </c>
      <c r="J197" s="4">
        <f t="shared" si="3"/>
        <v>4.4117647058823533</v>
      </c>
    </row>
    <row r="198" spans="1:10" x14ac:dyDescent="0.3">
      <c r="A198" s="3" t="s">
        <v>29</v>
      </c>
      <c r="B198" s="2" t="s">
        <v>19</v>
      </c>
      <c r="C198" s="2" t="s">
        <v>24</v>
      </c>
      <c r="D198" s="14">
        <v>147</v>
      </c>
      <c r="E198" s="14">
        <v>157</v>
      </c>
      <c r="F198" s="2">
        <v>5</v>
      </c>
      <c r="G198" s="2">
        <v>133</v>
      </c>
      <c r="H198" s="14">
        <v>20216</v>
      </c>
      <c r="I198" s="2" t="s">
        <v>14</v>
      </c>
      <c r="J198" s="4">
        <f t="shared" si="3"/>
        <v>3.75</v>
      </c>
    </row>
    <row r="199" spans="1:10" x14ac:dyDescent="0.3">
      <c r="A199" s="3" t="s">
        <v>20</v>
      </c>
      <c r="B199" s="2" t="s">
        <v>16</v>
      </c>
      <c r="C199" s="2" t="s">
        <v>13</v>
      </c>
      <c r="D199" s="14">
        <v>67</v>
      </c>
      <c r="E199" s="14">
        <v>82</v>
      </c>
      <c r="F199" s="2">
        <v>10</v>
      </c>
      <c r="G199" s="2">
        <v>192</v>
      </c>
      <c r="H199" s="14">
        <v>13824</v>
      </c>
      <c r="I199" s="2" t="s">
        <v>12</v>
      </c>
      <c r="J199" s="4">
        <f t="shared" si="3"/>
        <v>4.7619047619047619</v>
      </c>
    </row>
    <row r="200" spans="1:10" x14ac:dyDescent="0.3">
      <c r="A200" s="3" t="s">
        <v>26</v>
      </c>
      <c r="B200" s="2" t="s">
        <v>27</v>
      </c>
      <c r="C200" s="2" t="s">
        <v>13</v>
      </c>
      <c r="D200" s="14">
        <v>76</v>
      </c>
      <c r="E200" s="14">
        <v>91</v>
      </c>
      <c r="F200" s="2">
        <v>0</v>
      </c>
      <c r="G200" s="2">
        <v>156</v>
      </c>
      <c r="H200" s="14">
        <v>14196</v>
      </c>
      <c r="I200" s="2" t="s">
        <v>12</v>
      </c>
      <c r="J200" s="4">
        <f t="shared" si="3"/>
        <v>4.375</v>
      </c>
    </row>
    <row r="201" spans="1:10" x14ac:dyDescent="0.3">
      <c r="A201" s="3" t="s">
        <v>20</v>
      </c>
      <c r="B201" s="2" t="s">
        <v>16</v>
      </c>
      <c r="C201" s="2" t="s">
        <v>24</v>
      </c>
      <c r="D201" s="14">
        <v>131</v>
      </c>
      <c r="E201" s="14">
        <v>146</v>
      </c>
      <c r="F201" s="2">
        <v>5</v>
      </c>
      <c r="G201" s="2">
        <v>87</v>
      </c>
      <c r="H201" s="14">
        <v>12267</v>
      </c>
      <c r="I201" s="2" t="s">
        <v>12</v>
      </c>
      <c r="J201" s="4">
        <f t="shared" si="3"/>
        <v>4.5</v>
      </c>
    </row>
    <row r="202" spans="1:10" x14ac:dyDescent="0.3">
      <c r="A202" s="3" t="s">
        <v>26</v>
      </c>
      <c r="B202" s="2" t="s">
        <v>27</v>
      </c>
      <c r="C202" s="2" t="s">
        <v>17</v>
      </c>
      <c r="D202" s="14">
        <v>165</v>
      </c>
      <c r="E202" s="14">
        <v>165</v>
      </c>
      <c r="F202" s="2">
        <v>10</v>
      </c>
      <c r="G202" s="2">
        <v>124</v>
      </c>
      <c r="H202" s="14">
        <v>19220</v>
      </c>
      <c r="I202" s="2" t="s">
        <v>12</v>
      </c>
      <c r="J202" s="4">
        <f t="shared" si="3"/>
        <v>4.666666666666667</v>
      </c>
    </row>
    <row r="203" spans="1:10" x14ac:dyDescent="0.3">
      <c r="A203" s="3" t="s">
        <v>15</v>
      </c>
      <c r="B203" s="2" t="s">
        <v>16</v>
      </c>
      <c r="C203" s="2" t="s">
        <v>17</v>
      </c>
      <c r="D203" s="14">
        <v>143</v>
      </c>
      <c r="E203" s="14">
        <v>148</v>
      </c>
      <c r="F203" s="2">
        <v>10</v>
      </c>
      <c r="G203" s="2">
        <v>60</v>
      </c>
      <c r="H203" s="14">
        <v>8280</v>
      </c>
      <c r="I203" s="2" t="s">
        <v>12</v>
      </c>
      <c r="J203" s="4">
        <f t="shared" si="3"/>
        <v>4.4736842105263159</v>
      </c>
    </row>
    <row r="204" spans="1:10" x14ac:dyDescent="0.3">
      <c r="A204" s="3" t="s">
        <v>20</v>
      </c>
      <c r="B204" s="2" t="s">
        <v>16</v>
      </c>
      <c r="C204" s="2" t="s">
        <v>13</v>
      </c>
      <c r="D204" s="14">
        <v>49</v>
      </c>
      <c r="E204" s="14">
        <v>49</v>
      </c>
      <c r="F204" s="2">
        <v>5</v>
      </c>
      <c r="G204" s="2">
        <v>60</v>
      </c>
      <c r="H204" s="14">
        <v>2640</v>
      </c>
      <c r="I204" s="2" t="s">
        <v>14</v>
      </c>
      <c r="J204" s="4">
        <f t="shared" si="3"/>
        <v>4.166666666666667</v>
      </c>
    </row>
    <row r="205" spans="1:10" x14ac:dyDescent="0.3">
      <c r="A205" s="3" t="s">
        <v>31</v>
      </c>
      <c r="B205" s="2" t="s">
        <v>32</v>
      </c>
      <c r="C205" s="2" t="s">
        <v>13</v>
      </c>
      <c r="D205" s="14">
        <v>154</v>
      </c>
      <c r="E205" s="14">
        <v>159</v>
      </c>
      <c r="F205" s="2">
        <v>0</v>
      </c>
      <c r="G205" s="2">
        <v>224</v>
      </c>
      <c r="H205" s="14">
        <v>35616</v>
      </c>
      <c r="I205" s="2" t="s">
        <v>12</v>
      </c>
      <c r="J205" s="4">
        <f t="shared" si="3"/>
        <v>5.9375</v>
      </c>
    </row>
    <row r="206" spans="1:10" x14ac:dyDescent="0.3">
      <c r="A206" s="3" t="s">
        <v>29</v>
      </c>
      <c r="B206" s="2" t="s">
        <v>19</v>
      </c>
      <c r="C206" s="2" t="s">
        <v>13</v>
      </c>
      <c r="D206" s="14">
        <v>65</v>
      </c>
      <c r="E206" s="14">
        <v>75</v>
      </c>
      <c r="F206" s="2">
        <v>5</v>
      </c>
      <c r="G206" s="2">
        <v>183</v>
      </c>
      <c r="H206" s="14">
        <v>12810</v>
      </c>
      <c r="I206" s="2" t="s">
        <v>12</v>
      </c>
      <c r="J206" s="4">
        <f t="shared" si="3"/>
        <v>3.6666666666666665</v>
      </c>
    </row>
    <row r="207" spans="1:10" x14ac:dyDescent="0.3">
      <c r="A207" s="3" t="s">
        <v>22</v>
      </c>
      <c r="B207" s="2" t="s">
        <v>23</v>
      </c>
      <c r="C207" s="2" t="s">
        <v>11</v>
      </c>
      <c r="D207" s="14">
        <v>69</v>
      </c>
      <c r="E207" s="14">
        <v>74</v>
      </c>
      <c r="F207" s="2">
        <v>0</v>
      </c>
      <c r="G207" s="2">
        <v>224</v>
      </c>
      <c r="H207" s="14">
        <v>16576</v>
      </c>
      <c r="I207" s="2" t="s">
        <v>12</v>
      </c>
      <c r="J207" s="4">
        <f t="shared" si="3"/>
        <v>4.5454545454545459</v>
      </c>
    </row>
    <row r="208" spans="1:10" x14ac:dyDescent="0.3">
      <c r="A208" s="3" t="s">
        <v>31</v>
      </c>
      <c r="B208" s="2" t="s">
        <v>32</v>
      </c>
      <c r="C208" s="2" t="s">
        <v>24</v>
      </c>
      <c r="D208" s="14">
        <v>181</v>
      </c>
      <c r="E208" s="14">
        <v>191</v>
      </c>
      <c r="F208" s="2">
        <v>5</v>
      </c>
      <c r="G208" s="2">
        <v>273</v>
      </c>
      <c r="H208" s="14">
        <v>50778</v>
      </c>
      <c r="I208" s="2" t="s">
        <v>14</v>
      </c>
      <c r="J208" s="4">
        <f t="shared" si="3"/>
        <v>6.333333333333333</v>
      </c>
    </row>
    <row r="209" spans="1:10" x14ac:dyDescent="0.3">
      <c r="A209" s="3" t="s">
        <v>29</v>
      </c>
      <c r="B209" s="2" t="s">
        <v>19</v>
      </c>
      <c r="C209" s="2" t="s">
        <v>21</v>
      </c>
      <c r="D209" s="14">
        <v>30</v>
      </c>
      <c r="E209" s="14">
        <v>45</v>
      </c>
      <c r="F209" s="2">
        <v>5</v>
      </c>
      <c r="G209" s="2">
        <v>262</v>
      </c>
      <c r="H209" s="14">
        <v>10480</v>
      </c>
      <c r="I209" s="2" t="s">
        <v>14</v>
      </c>
      <c r="J209" s="4">
        <f t="shared" si="3"/>
        <v>3.5714285714285716</v>
      </c>
    </row>
    <row r="210" spans="1:10" x14ac:dyDescent="0.3">
      <c r="A210" s="3" t="s">
        <v>9</v>
      </c>
      <c r="B210" s="2" t="s">
        <v>10</v>
      </c>
      <c r="C210" s="2" t="s">
        <v>13</v>
      </c>
      <c r="D210" s="14">
        <v>149</v>
      </c>
      <c r="E210" s="14">
        <v>164</v>
      </c>
      <c r="F210" s="2">
        <v>10</v>
      </c>
      <c r="G210" s="2">
        <v>80</v>
      </c>
      <c r="H210" s="14">
        <v>12320</v>
      </c>
      <c r="I210" s="2" t="s">
        <v>14</v>
      </c>
      <c r="J210" s="4">
        <f t="shared" si="3"/>
        <v>4.791666666666667</v>
      </c>
    </row>
    <row r="211" spans="1:10" x14ac:dyDescent="0.3">
      <c r="A211" s="3" t="s">
        <v>9</v>
      </c>
      <c r="B211" s="2" t="s">
        <v>10</v>
      </c>
      <c r="C211" s="2" t="s">
        <v>25</v>
      </c>
      <c r="D211" s="14">
        <v>177</v>
      </c>
      <c r="E211" s="14">
        <v>192</v>
      </c>
      <c r="F211" s="2">
        <v>0</v>
      </c>
      <c r="G211" s="2">
        <v>253</v>
      </c>
      <c r="H211" s="14">
        <v>48576</v>
      </c>
      <c r="I211" s="2" t="s">
        <v>12</v>
      </c>
      <c r="J211" s="4">
        <f t="shared" si="3"/>
        <v>4.5652173913043477</v>
      </c>
    </row>
    <row r="212" spans="1:10" x14ac:dyDescent="0.3">
      <c r="A212" s="3" t="s">
        <v>20</v>
      </c>
      <c r="B212" s="2" t="s">
        <v>16</v>
      </c>
      <c r="C212" s="2" t="s">
        <v>11</v>
      </c>
      <c r="D212" s="14">
        <v>76</v>
      </c>
      <c r="E212" s="14">
        <v>76</v>
      </c>
      <c r="F212" s="2">
        <v>10</v>
      </c>
      <c r="G212" s="2">
        <v>240</v>
      </c>
      <c r="H212" s="14">
        <v>15840</v>
      </c>
      <c r="I212" s="2" t="s">
        <v>12</v>
      </c>
      <c r="J212" s="4">
        <f t="shared" si="3"/>
        <v>4.117647058823529</v>
      </c>
    </row>
    <row r="213" spans="1:10" x14ac:dyDescent="0.3">
      <c r="A213" s="3" t="s">
        <v>22</v>
      </c>
      <c r="B213" s="2" t="s">
        <v>23</v>
      </c>
      <c r="C213" s="2" t="s">
        <v>13</v>
      </c>
      <c r="D213" s="14">
        <v>169</v>
      </c>
      <c r="E213" s="14">
        <v>169</v>
      </c>
      <c r="F213" s="2">
        <v>5</v>
      </c>
      <c r="G213" s="2">
        <v>270</v>
      </c>
      <c r="H213" s="14">
        <v>44280</v>
      </c>
      <c r="I213" s="2" t="s">
        <v>12</v>
      </c>
      <c r="J213" s="4">
        <f t="shared" si="3"/>
        <v>5</v>
      </c>
    </row>
    <row r="214" spans="1:10" x14ac:dyDescent="0.3">
      <c r="A214" s="3" t="s">
        <v>22</v>
      </c>
      <c r="B214" s="2" t="s">
        <v>23</v>
      </c>
      <c r="C214" s="2" t="s">
        <v>13</v>
      </c>
      <c r="D214" s="14">
        <v>166</v>
      </c>
      <c r="E214" s="14">
        <v>171</v>
      </c>
      <c r="F214" s="2">
        <v>0</v>
      </c>
      <c r="G214" s="2">
        <v>130</v>
      </c>
      <c r="H214" s="14">
        <v>22230</v>
      </c>
      <c r="I214" s="2" t="s">
        <v>12</v>
      </c>
      <c r="J214" s="4">
        <f t="shared" si="3"/>
        <v>5</v>
      </c>
    </row>
    <row r="215" spans="1:10" x14ac:dyDescent="0.3">
      <c r="A215" s="3" t="s">
        <v>29</v>
      </c>
      <c r="B215" s="2" t="s">
        <v>19</v>
      </c>
      <c r="C215" s="2" t="s">
        <v>25</v>
      </c>
      <c r="D215" s="14">
        <v>161</v>
      </c>
      <c r="E215" s="14">
        <v>161</v>
      </c>
      <c r="F215" s="2">
        <v>0</v>
      </c>
      <c r="G215" s="2">
        <v>165</v>
      </c>
      <c r="H215" s="14">
        <v>26565</v>
      </c>
      <c r="I215" s="2" t="s">
        <v>12</v>
      </c>
      <c r="J215" s="4">
        <f t="shared" si="3"/>
        <v>3.4615384615384617</v>
      </c>
    </row>
    <row r="216" spans="1:10" x14ac:dyDescent="0.3">
      <c r="A216" s="3" t="s">
        <v>20</v>
      </c>
      <c r="B216" s="2" t="s">
        <v>16</v>
      </c>
      <c r="C216" s="2" t="s">
        <v>25</v>
      </c>
      <c r="D216" s="14">
        <v>86</v>
      </c>
      <c r="E216" s="14">
        <v>101</v>
      </c>
      <c r="F216" s="2">
        <v>0</v>
      </c>
      <c r="G216" s="2">
        <v>139</v>
      </c>
      <c r="H216" s="14">
        <v>14039</v>
      </c>
      <c r="I216" s="2" t="s">
        <v>14</v>
      </c>
      <c r="J216" s="4">
        <f t="shared" si="3"/>
        <v>3.75</v>
      </c>
    </row>
    <row r="217" spans="1:10" x14ac:dyDescent="0.3">
      <c r="A217" s="3" t="s">
        <v>26</v>
      </c>
      <c r="B217" s="2" t="s">
        <v>27</v>
      </c>
      <c r="C217" s="2" t="s">
        <v>21</v>
      </c>
      <c r="D217" s="14">
        <v>138</v>
      </c>
      <c r="E217" s="14">
        <v>153</v>
      </c>
      <c r="F217" s="2">
        <v>10</v>
      </c>
      <c r="G217" s="2">
        <v>213</v>
      </c>
      <c r="H217" s="14">
        <v>30459</v>
      </c>
      <c r="I217" s="2" t="s">
        <v>12</v>
      </c>
      <c r="J217" s="4">
        <f t="shared" si="3"/>
        <v>4.2857142857142856</v>
      </c>
    </row>
    <row r="218" spans="1:10" x14ac:dyDescent="0.3">
      <c r="A218" s="3" t="s">
        <v>18</v>
      </c>
      <c r="B218" s="2" t="s">
        <v>19</v>
      </c>
      <c r="C218" s="2" t="s">
        <v>13</v>
      </c>
      <c r="D218" s="14">
        <v>129</v>
      </c>
      <c r="E218" s="14">
        <v>139</v>
      </c>
      <c r="F218" s="2">
        <v>0</v>
      </c>
      <c r="G218" s="2">
        <v>69</v>
      </c>
      <c r="H218" s="14">
        <v>9591</v>
      </c>
      <c r="I218" s="2" t="s">
        <v>14</v>
      </c>
      <c r="J218" s="4">
        <f t="shared" si="3"/>
        <v>3.75</v>
      </c>
    </row>
    <row r="219" spans="1:10" x14ac:dyDescent="0.3">
      <c r="A219" s="3" t="s">
        <v>22</v>
      </c>
      <c r="B219" s="2" t="s">
        <v>23</v>
      </c>
      <c r="C219" s="2" t="s">
        <v>24</v>
      </c>
      <c r="D219" s="14">
        <v>103</v>
      </c>
      <c r="E219" s="14">
        <v>118</v>
      </c>
      <c r="F219" s="2">
        <v>5</v>
      </c>
      <c r="G219" s="2">
        <v>215</v>
      </c>
      <c r="H219" s="14">
        <v>24295</v>
      </c>
      <c r="I219" s="2" t="s">
        <v>12</v>
      </c>
      <c r="J219" s="4">
        <f t="shared" si="3"/>
        <v>5.625</v>
      </c>
    </row>
    <row r="220" spans="1:10" x14ac:dyDescent="0.3">
      <c r="A220" s="3" t="s">
        <v>26</v>
      </c>
      <c r="B220" s="2" t="s">
        <v>27</v>
      </c>
      <c r="C220" s="2" t="s">
        <v>21</v>
      </c>
      <c r="D220" s="14">
        <v>43</v>
      </c>
      <c r="E220" s="14">
        <v>58</v>
      </c>
      <c r="F220" s="2">
        <v>5</v>
      </c>
      <c r="G220" s="2">
        <v>137</v>
      </c>
      <c r="H220" s="14">
        <v>7261</v>
      </c>
      <c r="I220" s="2" t="s">
        <v>14</v>
      </c>
      <c r="J220" s="4">
        <f t="shared" si="3"/>
        <v>3.8461538461538463</v>
      </c>
    </row>
    <row r="221" spans="1:10" x14ac:dyDescent="0.3">
      <c r="A221" s="3" t="s">
        <v>29</v>
      </c>
      <c r="B221" s="2" t="s">
        <v>19</v>
      </c>
      <c r="C221" s="2" t="s">
        <v>17</v>
      </c>
      <c r="D221" s="14">
        <v>135</v>
      </c>
      <c r="E221" s="14">
        <v>140</v>
      </c>
      <c r="F221" s="2">
        <v>0</v>
      </c>
      <c r="G221" s="2">
        <v>179</v>
      </c>
      <c r="H221" s="14">
        <v>25060</v>
      </c>
      <c r="I221" s="2" t="s">
        <v>12</v>
      </c>
      <c r="J221" s="4">
        <f t="shared" si="3"/>
        <v>4.0909090909090908</v>
      </c>
    </row>
    <row r="222" spans="1:10" x14ac:dyDescent="0.3">
      <c r="A222" s="3" t="s">
        <v>26</v>
      </c>
      <c r="B222" s="2" t="s">
        <v>27</v>
      </c>
      <c r="C222" s="2" t="s">
        <v>21</v>
      </c>
      <c r="D222" s="14">
        <v>167</v>
      </c>
      <c r="E222" s="14">
        <v>182</v>
      </c>
      <c r="F222" s="2">
        <v>5</v>
      </c>
      <c r="G222" s="2">
        <v>180</v>
      </c>
      <c r="H222" s="14">
        <v>31860</v>
      </c>
      <c r="I222" s="2" t="s">
        <v>14</v>
      </c>
      <c r="J222" s="4">
        <f t="shared" si="3"/>
        <v>3.75</v>
      </c>
    </row>
    <row r="223" spans="1:10" x14ac:dyDescent="0.3">
      <c r="A223" s="3" t="s">
        <v>30</v>
      </c>
      <c r="B223" s="2" t="s">
        <v>10</v>
      </c>
      <c r="C223" s="2" t="s">
        <v>13</v>
      </c>
      <c r="D223" s="14">
        <v>30</v>
      </c>
      <c r="E223" s="14">
        <v>35</v>
      </c>
      <c r="F223" s="2">
        <v>10</v>
      </c>
      <c r="G223" s="2">
        <v>83</v>
      </c>
      <c r="H223" s="14">
        <v>2075</v>
      </c>
      <c r="I223" s="2" t="s">
        <v>12</v>
      </c>
      <c r="J223" s="4">
        <f t="shared" si="3"/>
        <v>4.7727272727272725</v>
      </c>
    </row>
    <row r="224" spans="1:10" x14ac:dyDescent="0.3">
      <c r="A224" s="3" t="s">
        <v>20</v>
      </c>
      <c r="B224" s="2" t="s">
        <v>16</v>
      </c>
      <c r="C224" s="2" t="s">
        <v>17</v>
      </c>
      <c r="D224" s="14">
        <v>113</v>
      </c>
      <c r="E224" s="14">
        <v>113</v>
      </c>
      <c r="F224" s="2">
        <v>5</v>
      </c>
      <c r="G224" s="2">
        <v>73</v>
      </c>
      <c r="H224" s="14">
        <v>7884</v>
      </c>
      <c r="I224" s="2" t="s">
        <v>14</v>
      </c>
      <c r="J224" s="4">
        <f t="shared" si="3"/>
        <v>4</v>
      </c>
    </row>
    <row r="225" spans="1:10" x14ac:dyDescent="0.3">
      <c r="A225" s="3" t="s">
        <v>15</v>
      </c>
      <c r="B225" s="2" t="s">
        <v>16</v>
      </c>
      <c r="C225" s="2" t="s">
        <v>25</v>
      </c>
      <c r="D225" s="14">
        <v>27</v>
      </c>
      <c r="E225" s="14">
        <v>27</v>
      </c>
      <c r="F225" s="2">
        <v>0</v>
      </c>
      <c r="G225" s="2">
        <v>116</v>
      </c>
      <c r="H225" s="14">
        <v>3132</v>
      </c>
      <c r="I225" s="2" t="s">
        <v>12</v>
      </c>
      <c r="J225" s="4">
        <f t="shared" si="3"/>
        <v>3.9285714285714284</v>
      </c>
    </row>
    <row r="226" spans="1:10" x14ac:dyDescent="0.3">
      <c r="A226" s="3" t="s">
        <v>31</v>
      </c>
      <c r="B226" s="2" t="s">
        <v>32</v>
      </c>
      <c r="C226" s="2" t="s">
        <v>21</v>
      </c>
      <c r="D226" s="14">
        <v>187</v>
      </c>
      <c r="E226" s="14">
        <v>197</v>
      </c>
      <c r="F226" s="2">
        <v>10</v>
      </c>
      <c r="G226" s="2">
        <v>94</v>
      </c>
      <c r="H226" s="14">
        <v>17578</v>
      </c>
      <c r="I226" s="2" t="s">
        <v>14</v>
      </c>
      <c r="J226" s="4">
        <f t="shared" si="3"/>
        <v>6.4285714285714288</v>
      </c>
    </row>
    <row r="227" spans="1:10" x14ac:dyDescent="0.3">
      <c r="A227" s="3" t="s">
        <v>31</v>
      </c>
      <c r="B227" s="2" t="s">
        <v>32</v>
      </c>
      <c r="C227" s="2" t="s">
        <v>24</v>
      </c>
      <c r="D227" s="14">
        <v>136</v>
      </c>
      <c r="E227" s="14">
        <v>151</v>
      </c>
      <c r="F227" s="2">
        <v>5</v>
      </c>
      <c r="G227" s="2">
        <v>119</v>
      </c>
      <c r="H227" s="14">
        <v>17374</v>
      </c>
      <c r="I227" s="2" t="s">
        <v>12</v>
      </c>
      <c r="J227" s="4">
        <f t="shared" si="3"/>
        <v>6.1538461538461542</v>
      </c>
    </row>
    <row r="228" spans="1:10" x14ac:dyDescent="0.3">
      <c r="A228" s="3" t="s">
        <v>22</v>
      </c>
      <c r="B228" s="2" t="s">
        <v>23</v>
      </c>
      <c r="C228" s="2" t="s">
        <v>25</v>
      </c>
      <c r="D228" s="14">
        <v>23</v>
      </c>
      <c r="E228" s="14">
        <v>28</v>
      </c>
      <c r="F228" s="2">
        <v>10</v>
      </c>
      <c r="G228" s="2">
        <v>287</v>
      </c>
      <c r="H228" s="14">
        <v>5166</v>
      </c>
      <c r="I228" s="2" t="s">
        <v>12</v>
      </c>
      <c r="J228" s="4">
        <f t="shared" si="3"/>
        <v>5.7142857142857144</v>
      </c>
    </row>
    <row r="229" spans="1:10" x14ac:dyDescent="0.3">
      <c r="A229" s="3" t="s">
        <v>31</v>
      </c>
      <c r="B229" s="2" t="s">
        <v>32</v>
      </c>
      <c r="C229" s="2" t="s">
        <v>17</v>
      </c>
      <c r="D229" s="14">
        <v>159</v>
      </c>
      <c r="E229" s="14">
        <v>164</v>
      </c>
      <c r="F229" s="2">
        <v>0</v>
      </c>
      <c r="G229" s="2">
        <v>91</v>
      </c>
      <c r="H229" s="14">
        <v>14924</v>
      </c>
      <c r="I229" s="2" t="s">
        <v>12</v>
      </c>
      <c r="J229" s="4">
        <f t="shared" si="3"/>
        <v>6.25</v>
      </c>
    </row>
    <row r="230" spans="1:10" x14ac:dyDescent="0.3">
      <c r="A230" s="3" t="s">
        <v>20</v>
      </c>
      <c r="B230" s="2" t="s">
        <v>16</v>
      </c>
      <c r="C230" s="2" t="s">
        <v>21</v>
      </c>
      <c r="D230" s="14">
        <v>81</v>
      </c>
      <c r="E230" s="14">
        <v>91</v>
      </c>
      <c r="F230" s="2">
        <v>5</v>
      </c>
      <c r="G230" s="2">
        <v>95</v>
      </c>
      <c r="H230" s="14">
        <v>8170</v>
      </c>
      <c r="I230" s="2" t="s">
        <v>12</v>
      </c>
      <c r="J230" s="4">
        <f t="shared" si="3"/>
        <v>4.2307692307692308</v>
      </c>
    </row>
    <row r="231" spans="1:10" x14ac:dyDescent="0.3">
      <c r="A231" s="3" t="s">
        <v>28</v>
      </c>
      <c r="B231" s="2" t="s">
        <v>10</v>
      </c>
      <c r="C231" s="2" t="s">
        <v>11</v>
      </c>
      <c r="D231" s="14">
        <v>97</v>
      </c>
      <c r="E231" s="14">
        <v>112</v>
      </c>
      <c r="F231" s="2">
        <v>0</v>
      </c>
      <c r="G231" s="2">
        <v>147</v>
      </c>
      <c r="H231" s="14">
        <v>16464</v>
      </c>
      <c r="I231" s="2" t="s">
        <v>12</v>
      </c>
      <c r="J231" s="4">
        <f t="shared" si="3"/>
        <v>4.5238095238095237</v>
      </c>
    </row>
    <row r="232" spans="1:10" x14ac:dyDescent="0.3">
      <c r="A232" s="3" t="s">
        <v>26</v>
      </c>
      <c r="B232" s="2" t="s">
        <v>27</v>
      </c>
      <c r="C232" s="2" t="s">
        <v>24</v>
      </c>
      <c r="D232" s="14">
        <v>128</v>
      </c>
      <c r="E232" s="14">
        <v>128</v>
      </c>
      <c r="F232" s="2">
        <v>5</v>
      </c>
      <c r="G232" s="2">
        <v>70</v>
      </c>
      <c r="H232" s="14">
        <v>8610</v>
      </c>
      <c r="I232" s="2" t="s">
        <v>12</v>
      </c>
      <c r="J232" s="4">
        <f t="shared" si="3"/>
        <v>3.6363636363636362</v>
      </c>
    </row>
    <row r="233" spans="1:10" x14ac:dyDescent="0.3">
      <c r="A233" s="3" t="s">
        <v>26</v>
      </c>
      <c r="B233" s="2" t="s">
        <v>27</v>
      </c>
      <c r="C233" s="2" t="s">
        <v>25</v>
      </c>
      <c r="D233" s="14">
        <v>139</v>
      </c>
      <c r="E233" s="14">
        <v>139</v>
      </c>
      <c r="F233" s="2">
        <v>5</v>
      </c>
      <c r="G233" s="2">
        <v>143</v>
      </c>
      <c r="H233" s="14">
        <v>19162</v>
      </c>
      <c r="I233" s="2" t="s">
        <v>14</v>
      </c>
      <c r="J233" s="4">
        <f t="shared" si="3"/>
        <v>3.5</v>
      </c>
    </row>
    <row r="234" spans="1:10" x14ac:dyDescent="0.3">
      <c r="A234" s="3" t="s">
        <v>9</v>
      </c>
      <c r="B234" s="2" t="s">
        <v>10</v>
      </c>
      <c r="C234" s="2" t="s">
        <v>13</v>
      </c>
      <c r="D234" s="14">
        <v>131</v>
      </c>
      <c r="E234" s="14">
        <v>141</v>
      </c>
      <c r="F234" s="2">
        <v>10</v>
      </c>
      <c r="G234" s="2">
        <v>154</v>
      </c>
      <c r="H234" s="14">
        <v>20174</v>
      </c>
      <c r="I234" s="2" t="s">
        <v>12</v>
      </c>
      <c r="J234" s="4">
        <f t="shared" si="3"/>
        <v>4.75</v>
      </c>
    </row>
    <row r="235" spans="1:10" x14ac:dyDescent="0.3">
      <c r="A235" s="3" t="s">
        <v>28</v>
      </c>
      <c r="B235" s="2" t="s">
        <v>10</v>
      </c>
      <c r="C235" s="2" t="s">
        <v>24</v>
      </c>
      <c r="D235" s="14">
        <v>74</v>
      </c>
      <c r="E235" s="14">
        <v>79</v>
      </c>
      <c r="F235" s="2">
        <v>0</v>
      </c>
      <c r="G235" s="2">
        <v>257</v>
      </c>
      <c r="H235" s="14">
        <v>20303</v>
      </c>
      <c r="I235" s="2" t="s">
        <v>12</v>
      </c>
      <c r="J235" s="4">
        <f t="shared" si="3"/>
        <v>4.4736842105263159</v>
      </c>
    </row>
    <row r="236" spans="1:10" x14ac:dyDescent="0.3">
      <c r="A236" s="3" t="s">
        <v>30</v>
      </c>
      <c r="B236" s="2" t="s">
        <v>10</v>
      </c>
      <c r="C236" s="2" t="s">
        <v>11</v>
      </c>
      <c r="D236" s="14">
        <v>43</v>
      </c>
      <c r="E236" s="14">
        <v>43</v>
      </c>
      <c r="F236" s="2">
        <v>0</v>
      </c>
      <c r="G236" s="2">
        <v>94</v>
      </c>
      <c r="H236" s="14">
        <v>4042</v>
      </c>
      <c r="I236" s="2" t="s">
        <v>14</v>
      </c>
      <c r="J236" s="4">
        <f t="shared" si="3"/>
        <v>4.7222222222222223</v>
      </c>
    </row>
    <row r="237" spans="1:10" x14ac:dyDescent="0.3">
      <c r="A237" s="3" t="s">
        <v>28</v>
      </c>
      <c r="B237" s="2" t="s">
        <v>10</v>
      </c>
      <c r="C237" s="2" t="s">
        <v>13</v>
      </c>
      <c r="D237" s="14">
        <v>81</v>
      </c>
      <c r="E237" s="14">
        <v>81</v>
      </c>
      <c r="F237" s="2">
        <v>0</v>
      </c>
      <c r="G237" s="2">
        <v>154</v>
      </c>
      <c r="H237" s="14">
        <v>12474</v>
      </c>
      <c r="I237" s="2" t="s">
        <v>14</v>
      </c>
      <c r="J237" s="4">
        <f t="shared" si="3"/>
        <v>5</v>
      </c>
    </row>
    <row r="238" spans="1:10" x14ac:dyDescent="0.3">
      <c r="A238" s="3" t="s">
        <v>22</v>
      </c>
      <c r="B238" s="2" t="s">
        <v>23</v>
      </c>
      <c r="C238" s="2" t="s">
        <v>25</v>
      </c>
      <c r="D238" s="14">
        <v>59</v>
      </c>
      <c r="E238" s="14">
        <v>64</v>
      </c>
      <c r="F238" s="2">
        <v>10</v>
      </c>
      <c r="G238" s="2">
        <v>111</v>
      </c>
      <c r="H238" s="14">
        <v>5994</v>
      </c>
      <c r="I238" s="2" t="s">
        <v>12</v>
      </c>
      <c r="J238" s="4">
        <f t="shared" si="3"/>
        <v>5</v>
      </c>
    </row>
    <row r="239" spans="1:10" x14ac:dyDescent="0.3">
      <c r="A239" s="3" t="s">
        <v>28</v>
      </c>
      <c r="B239" s="2" t="s">
        <v>10</v>
      </c>
      <c r="C239" s="2" t="s">
        <v>25</v>
      </c>
      <c r="D239" s="14">
        <v>76</v>
      </c>
      <c r="E239" s="14">
        <v>76</v>
      </c>
      <c r="F239" s="2">
        <v>0</v>
      </c>
      <c r="G239" s="2">
        <v>238</v>
      </c>
      <c r="H239" s="14">
        <v>18088</v>
      </c>
      <c r="I239" s="2" t="s">
        <v>12</v>
      </c>
      <c r="J239" s="4">
        <f t="shared" si="3"/>
        <v>5.3125</v>
      </c>
    </row>
    <row r="240" spans="1:10" x14ac:dyDescent="0.3">
      <c r="A240" s="3" t="s">
        <v>29</v>
      </c>
      <c r="B240" s="2" t="s">
        <v>19</v>
      </c>
      <c r="C240" s="2" t="s">
        <v>25</v>
      </c>
      <c r="D240" s="14">
        <v>140</v>
      </c>
      <c r="E240" s="14">
        <v>155</v>
      </c>
      <c r="F240" s="2">
        <v>5</v>
      </c>
      <c r="G240" s="2">
        <v>259</v>
      </c>
      <c r="H240" s="14">
        <v>38850</v>
      </c>
      <c r="I240" s="2" t="s">
        <v>12</v>
      </c>
      <c r="J240" s="4">
        <f t="shared" si="3"/>
        <v>4.5</v>
      </c>
    </row>
    <row r="241" spans="1:10" x14ac:dyDescent="0.3">
      <c r="A241" s="3" t="s">
        <v>30</v>
      </c>
      <c r="B241" s="2" t="s">
        <v>10</v>
      </c>
      <c r="C241" s="2" t="s">
        <v>17</v>
      </c>
      <c r="D241" s="14">
        <v>63</v>
      </c>
      <c r="E241" s="14">
        <v>78</v>
      </c>
      <c r="F241" s="2">
        <v>10</v>
      </c>
      <c r="G241" s="2">
        <v>106</v>
      </c>
      <c r="H241" s="14">
        <v>7208</v>
      </c>
      <c r="I241" s="2" t="s">
        <v>12</v>
      </c>
      <c r="J241" s="4">
        <f t="shared" si="3"/>
        <v>5.666666666666667</v>
      </c>
    </row>
    <row r="242" spans="1:10" x14ac:dyDescent="0.3">
      <c r="A242" s="3" t="s">
        <v>31</v>
      </c>
      <c r="B242" s="2" t="s">
        <v>32</v>
      </c>
      <c r="C242" s="2" t="s">
        <v>24</v>
      </c>
      <c r="D242" s="14">
        <v>181</v>
      </c>
      <c r="E242" s="14">
        <v>186</v>
      </c>
      <c r="F242" s="2">
        <v>10</v>
      </c>
      <c r="G242" s="2">
        <v>108</v>
      </c>
      <c r="H242" s="14">
        <v>19008</v>
      </c>
      <c r="I242" s="2" t="s">
        <v>12</v>
      </c>
      <c r="J242" s="4">
        <f t="shared" si="3"/>
        <v>6.8181818181818183</v>
      </c>
    </row>
    <row r="243" spans="1:10" x14ac:dyDescent="0.3">
      <c r="A243" s="3" t="s">
        <v>15</v>
      </c>
      <c r="B243" s="2" t="s">
        <v>16</v>
      </c>
      <c r="C243" s="2" t="s">
        <v>17</v>
      </c>
      <c r="D243" s="14">
        <v>129</v>
      </c>
      <c r="E243" s="14">
        <v>144</v>
      </c>
      <c r="F243" s="2">
        <v>0</v>
      </c>
      <c r="G243" s="2">
        <v>204</v>
      </c>
      <c r="H243" s="14">
        <v>29376</v>
      </c>
      <c r="I243" s="2" t="s">
        <v>12</v>
      </c>
      <c r="J243" s="4">
        <f t="shared" si="3"/>
        <v>4.166666666666667</v>
      </c>
    </row>
    <row r="244" spans="1:10" x14ac:dyDescent="0.3">
      <c r="A244" s="3" t="s">
        <v>18</v>
      </c>
      <c r="B244" s="2" t="s">
        <v>19</v>
      </c>
      <c r="C244" s="2" t="s">
        <v>24</v>
      </c>
      <c r="D244" s="14">
        <v>24</v>
      </c>
      <c r="E244" s="14">
        <v>29</v>
      </c>
      <c r="F244" s="2">
        <v>5</v>
      </c>
      <c r="G244" s="2">
        <v>137</v>
      </c>
      <c r="H244" s="14">
        <v>3288</v>
      </c>
      <c r="I244" s="2" t="s">
        <v>12</v>
      </c>
      <c r="J244" s="4">
        <f t="shared" si="3"/>
        <v>4.4444444444444446</v>
      </c>
    </row>
    <row r="245" spans="1:10" x14ac:dyDescent="0.3">
      <c r="A245" s="3" t="s">
        <v>29</v>
      </c>
      <c r="B245" s="2" t="s">
        <v>19</v>
      </c>
      <c r="C245" s="2" t="s">
        <v>11</v>
      </c>
      <c r="D245" s="14">
        <v>82</v>
      </c>
      <c r="E245" s="14">
        <v>87</v>
      </c>
      <c r="F245" s="2">
        <v>5</v>
      </c>
      <c r="G245" s="2">
        <v>77</v>
      </c>
      <c r="H245" s="14">
        <v>6314</v>
      </c>
      <c r="I245" s="2" t="s">
        <v>12</v>
      </c>
      <c r="J245" s="4">
        <f t="shared" si="3"/>
        <v>4.375</v>
      </c>
    </row>
    <row r="246" spans="1:10" x14ac:dyDescent="0.3">
      <c r="A246" s="3" t="s">
        <v>31</v>
      </c>
      <c r="B246" s="2" t="s">
        <v>32</v>
      </c>
      <c r="C246" s="2" t="s">
        <v>25</v>
      </c>
      <c r="D246" s="14">
        <v>87</v>
      </c>
      <c r="E246" s="14">
        <v>92</v>
      </c>
      <c r="F246" s="2">
        <v>10</v>
      </c>
      <c r="G246" s="2">
        <v>255</v>
      </c>
      <c r="H246" s="14">
        <v>20910</v>
      </c>
      <c r="I246" s="2" t="s">
        <v>12</v>
      </c>
      <c r="J246" s="4">
        <f t="shared" si="3"/>
        <v>6.5</v>
      </c>
    </row>
    <row r="247" spans="1:10" x14ac:dyDescent="0.3">
      <c r="A247" s="3" t="s">
        <v>29</v>
      </c>
      <c r="B247" s="2" t="s">
        <v>19</v>
      </c>
      <c r="C247" s="2" t="s">
        <v>24</v>
      </c>
      <c r="D247" s="14">
        <v>174</v>
      </c>
      <c r="E247" s="14">
        <v>184</v>
      </c>
      <c r="F247" s="2">
        <v>0</v>
      </c>
      <c r="G247" s="2">
        <v>129</v>
      </c>
      <c r="H247" s="14">
        <v>23736</v>
      </c>
      <c r="I247" s="2" t="s">
        <v>12</v>
      </c>
      <c r="J247" s="4">
        <f t="shared" si="3"/>
        <v>4.2857142857142856</v>
      </c>
    </row>
    <row r="248" spans="1:10" x14ac:dyDescent="0.3">
      <c r="A248" s="3" t="s">
        <v>22</v>
      </c>
      <c r="B248" s="2" t="s">
        <v>23</v>
      </c>
      <c r="C248" s="2" t="s">
        <v>11</v>
      </c>
      <c r="D248" s="14">
        <v>63</v>
      </c>
      <c r="E248" s="14">
        <v>63</v>
      </c>
      <c r="F248" s="2">
        <v>0</v>
      </c>
      <c r="G248" s="2">
        <v>178</v>
      </c>
      <c r="H248" s="14">
        <v>11214</v>
      </c>
      <c r="I248" s="2" t="s">
        <v>12</v>
      </c>
      <c r="J248" s="4">
        <f t="shared" si="3"/>
        <v>4</v>
      </c>
    </row>
    <row r="249" spans="1:10" x14ac:dyDescent="0.3">
      <c r="A249" s="3" t="s">
        <v>28</v>
      </c>
      <c r="B249" s="2" t="s">
        <v>10</v>
      </c>
      <c r="C249" s="2" t="s">
        <v>21</v>
      </c>
      <c r="D249" s="14">
        <v>149</v>
      </c>
      <c r="E249" s="14">
        <v>159</v>
      </c>
      <c r="F249" s="2">
        <v>10</v>
      </c>
      <c r="G249" s="2">
        <v>269</v>
      </c>
      <c r="H249" s="14">
        <v>40081</v>
      </c>
      <c r="I249" s="2" t="s">
        <v>12</v>
      </c>
      <c r="J249" s="4">
        <f t="shared" si="3"/>
        <v>5.3571428571428568</v>
      </c>
    </row>
    <row r="250" spans="1:10" x14ac:dyDescent="0.3">
      <c r="A250" s="3" t="s">
        <v>31</v>
      </c>
      <c r="B250" s="2" t="s">
        <v>32</v>
      </c>
      <c r="C250" s="2" t="s">
        <v>17</v>
      </c>
      <c r="D250" s="14">
        <v>119</v>
      </c>
      <c r="E250" s="14">
        <v>119</v>
      </c>
      <c r="F250" s="2">
        <v>0</v>
      </c>
      <c r="G250" s="2">
        <v>230</v>
      </c>
      <c r="H250" s="14">
        <v>27370</v>
      </c>
      <c r="I250" s="2" t="s">
        <v>12</v>
      </c>
      <c r="J250" s="4">
        <f t="shared" si="3"/>
        <v>6.1111111111111107</v>
      </c>
    </row>
    <row r="251" spans="1:10" x14ac:dyDescent="0.3">
      <c r="A251" s="3" t="s">
        <v>9</v>
      </c>
      <c r="B251" s="2" t="s">
        <v>10</v>
      </c>
      <c r="C251" s="2" t="s">
        <v>11</v>
      </c>
      <c r="D251" s="14">
        <v>106</v>
      </c>
      <c r="E251" s="14">
        <v>116</v>
      </c>
      <c r="F251" s="2">
        <v>0</v>
      </c>
      <c r="G251" s="2">
        <v>115</v>
      </c>
      <c r="H251" s="14">
        <v>13340</v>
      </c>
      <c r="I251" s="2" t="s">
        <v>14</v>
      </c>
      <c r="J251" s="4">
        <f t="shared" si="3"/>
        <v>5</v>
      </c>
    </row>
    <row r="252" spans="1:10" x14ac:dyDescent="0.3">
      <c r="A252" s="3" t="s">
        <v>29</v>
      </c>
      <c r="B252" s="2" t="s">
        <v>19</v>
      </c>
      <c r="C252" s="2" t="s">
        <v>17</v>
      </c>
      <c r="D252" s="14">
        <v>85</v>
      </c>
      <c r="E252" s="14">
        <v>90</v>
      </c>
      <c r="F252" s="2">
        <v>5</v>
      </c>
      <c r="G252" s="2">
        <v>195</v>
      </c>
      <c r="H252" s="14">
        <v>16575</v>
      </c>
      <c r="I252" s="2" t="s">
        <v>14</v>
      </c>
      <c r="J252" s="4">
        <f t="shared" si="3"/>
        <v>5</v>
      </c>
    </row>
    <row r="253" spans="1:10" x14ac:dyDescent="0.3">
      <c r="A253" s="3" t="s">
        <v>15</v>
      </c>
      <c r="B253" s="2" t="s">
        <v>16</v>
      </c>
      <c r="C253" s="2" t="s">
        <v>24</v>
      </c>
      <c r="D253" s="14">
        <v>129</v>
      </c>
      <c r="E253" s="14">
        <v>139</v>
      </c>
      <c r="F253" s="2">
        <v>0</v>
      </c>
      <c r="G253" s="2">
        <v>195</v>
      </c>
      <c r="H253" s="14">
        <v>27105</v>
      </c>
      <c r="I253" s="2" t="s">
        <v>14</v>
      </c>
      <c r="J253" s="4">
        <f t="shared" si="3"/>
        <v>4.5454545454545459</v>
      </c>
    </row>
    <row r="254" spans="1:10" x14ac:dyDescent="0.3">
      <c r="A254" s="3" t="s">
        <v>26</v>
      </c>
      <c r="B254" s="2" t="s">
        <v>27</v>
      </c>
      <c r="C254" s="2" t="s">
        <v>13</v>
      </c>
      <c r="D254" s="14">
        <v>80</v>
      </c>
      <c r="E254" s="14">
        <v>85</v>
      </c>
      <c r="F254" s="2">
        <v>10</v>
      </c>
      <c r="G254" s="2">
        <v>67</v>
      </c>
      <c r="H254" s="14">
        <v>5025</v>
      </c>
      <c r="I254" s="2" t="s">
        <v>14</v>
      </c>
      <c r="J254" s="4">
        <f t="shared" si="3"/>
        <v>3.3333333333333335</v>
      </c>
    </row>
    <row r="255" spans="1:10" x14ac:dyDescent="0.3">
      <c r="A255" s="3" t="s">
        <v>30</v>
      </c>
      <c r="B255" s="2" t="s">
        <v>10</v>
      </c>
      <c r="C255" s="2" t="s">
        <v>11</v>
      </c>
      <c r="D255" s="14">
        <v>184</v>
      </c>
      <c r="E255" s="14">
        <v>194</v>
      </c>
      <c r="F255" s="2">
        <v>0</v>
      </c>
      <c r="G255" s="2">
        <v>271</v>
      </c>
      <c r="H255" s="14">
        <v>52574</v>
      </c>
      <c r="I255" s="2" t="s">
        <v>14</v>
      </c>
      <c r="J255" s="4">
        <f t="shared" si="3"/>
        <v>5.416666666666667</v>
      </c>
    </row>
    <row r="256" spans="1:10" x14ac:dyDescent="0.3">
      <c r="A256" s="3" t="s">
        <v>28</v>
      </c>
      <c r="B256" s="2" t="s">
        <v>10</v>
      </c>
      <c r="C256" s="2" t="s">
        <v>11</v>
      </c>
      <c r="D256" s="14">
        <v>163</v>
      </c>
      <c r="E256" s="14">
        <v>178</v>
      </c>
      <c r="F256" s="2">
        <v>5</v>
      </c>
      <c r="G256" s="2">
        <v>214</v>
      </c>
      <c r="H256" s="14">
        <v>37022</v>
      </c>
      <c r="I256" s="2" t="s">
        <v>14</v>
      </c>
      <c r="J256" s="4">
        <f t="shared" si="3"/>
        <v>5.9090909090909092</v>
      </c>
    </row>
    <row r="257" spans="1:10" x14ac:dyDescent="0.3">
      <c r="A257" s="3" t="s">
        <v>29</v>
      </c>
      <c r="B257" s="2" t="s">
        <v>19</v>
      </c>
      <c r="C257" s="2" t="s">
        <v>11</v>
      </c>
      <c r="D257" s="14">
        <v>175</v>
      </c>
      <c r="E257" s="14">
        <v>190</v>
      </c>
      <c r="F257" s="2">
        <v>5</v>
      </c>
      <c r="G257" s="2">
        <v>288</v>
      </c>
      <c r="H257" s="14">
        <v>53280</v>
      </c>
      <c r="I257" s="2" t="s">
        <v>14</v>
      </c>
      <c r="J257" s="4">
        <f t="shared" si="3"/>
        <v>5</v>
      </c>
    </row>
    <row r="258" spans="1:10" x14ac:dyDescent="0.3">
      <c r="A258" s="3" t="s">
        <v>29</v>
      </c>
      <c r="B258" s="2" t="s">
        <v>19</v>
      </c>
      <c r="C258" s="2" t="s">
        <v>21</v>
      </c>
      <c r="D258" s="14">
        <v>72</v>
      </c>
      <c r="E258" s="14">
        <v>82</v>
      </c>
      <c r="F258" s="2">
        <v>0</v>
      </c>
      <c r="G258" s="2">
        <v>105</v>
      </c>
      <c r="H258" s="14">
        <v>8610</v>
      </c>
      <c r="I258" s="2" t="s">
        <v>12</v>
      </c>
      <c r="J258" s="4">
        <f t="shared" si="3"/>
        <v>5</v>
      </c>
    </row>
    <row r="259" spans="1:10" x14ac:dyDescent="0.3">
      <c r="A259" s="3" t="s">
        <v>26</v>
      </c>
      <c r="B259" s="2" t="s">
        <v>27</v>
      </c>
      <c r="C259" s="2" t="s">
        <v>24</v>
      </c>
      <c r="D259" s="14">
        <v>160</v>
      </c>
      <c r="E259" s="14">
        <v>165</v>
      </c>
      <c r="F259" s="2">
        <v>0</v>
      </c>
      <c r="G259" s="2">
        <v>157</v>
      </c>
      <c r="H259" s="14">
        <v>25905</v>
      </c>
      <c r="I259" s="2" t="s">
        <v>12</v>
      </c>
      <c r="J259" s="4">
        <f t="shared" ref="J259:J301" si="4">AVERAGEIF(B259:B558, B259, F259:F558)</f>
        <v>2.5</v>
      </c>
    </row>
    <row r="260" spans="1:10" x14ac:dyDescent="0.3">
      <c r="A260" s="3" t="s">
        <v>15</v>
      </c>
      <c r="B260" s="2" t="s">
        <v>16</v>
      </c>
      <c r="C260" s="2" t="s">
        <v>24</v>
      </c>
      <c r="D260" s="14">
        <v>132</v>
      </c>
      <c r="E260" s="14">
        <v>142</v>
      </c>
      <c r="F260" s="2">
        <v>5</v>
      </c>
      <c r="G260" s="2">
        <v>225</v>
      </c>
      <c r="H260" s="14">
        <v>30825</v>
      </c>
      <c r="I260" s="2" t="s">
        <v>12</v>
      </c>
      <c r="J260" s="4">
        <f t="shared" si="4"/>
        <v>5</v>
      </c>
    </row>
    <row r="261" spans="1:10" x14ac:dyDescent="0.3">
      <c r="A261" s="3" t="s">
        <v>31</v>
      </c>
      <c r="B261" s="2" t="s">
        <v>32</v>
      </c>
      <c r="C261" s="2" t="s">
        <v>17</v>
      </c>
      <c r="D261" s="14">
        <v>69</v>
      </c>
      <c r="E261" s="14">
        <v>69</v>
      </c>
      <c r="F261" s="2">
        <v>10</v>
      </c>
      <c r="G261" s="2">
        <v>243</v>
      </c>
      <c r="H261" s="14">
        <v>14337</v>
      </c>
      <c r="I261" s="2" t="s">
        <v>14</v>
      </c>
      <c r="J261" s="4">
        <f t="shared" si="4"/>
        <v>6.875</v>
      </c>
    </row>
    <row r="262" spans="1:10" x14ac:dyDescent="0.3">
      <c r="A262" s="3" t="s">
        <v>31</v>
      </c>
      <c r="B262" s="2" t="s">
        <v>32</v>
      </c>
      <c r="C262" s="2" t="s">
        <v>11</v>
      </c>
      <c r="D262" s="14">
        <v>75</v>
      </c>
      <c r="E262" s="14">
        <v>80</v>
      </c>
      <c r="F262" s="2">
        <v>10</v>
      </c>
      <c r="G262" s="2">
        <v>107</v>
      </c>
      <c r="H262" s="14">
        <v>7490</v>
      </c>
      <c r="I262" s="2" t="s">
        <v>12</v>
      </c>
      <c r="J262" s="4">
        <f t="shared" si="4"/>
        <v>6.4285714285714288</v>
      </c>
    </row>
    <row r="263" spans="1:10" x14ac:dyDescent="0.3">
      <c r="A263" s="3" t="s">
        <v>29</v>
      </c>
      <c r="B263" s="2" t="s">
        <v>19</v>
      </c>
      <c r="C263" s="2" t="s">
        <v>17</v>
      </c>
      <c r="D263" s="14">
        <v>180</v>
      </c>
      <c r="E263" s="14">
        <v>185</v>
      </c>
      <c r="F263" s="2">
        <v>10</v>
      </c>
      <c r="G263" s="2">
        <v>226</v>
      </c>
      <c r="H263" s="14">
        <v>39550</v>
      </c>
      <c r="I263" s="2" t="s">
        <v>14</v>
      </c>
      <c r="J263" s="4">
        <f t="shared" si="4"/>
        <v>6.666666666666667</v>
      </c>
    </row>
    <row r="264" spans="1:10" x14ac:dyDescent="0.3">
      <c r="A264" s="3" t="s">
        <v>15</v>
      </c>
      <c r="B264" s="2" t="s">
        <v>16</v>
      </c>
      <c r="C264" s="2" t="s">
        <v>17</v>
      </c>
      <c r="D264" s="14">
        <v>147</v>
      </c>
      <c r="E264" s="14">
        <v>152</v>
      </c>
      <c r="F264" s="2">
        <v>5</v>
      </c>
      <c r="G264" s="2">
        <v>105</v>
      </c>
      <c r="H264" s="14">
        <v>15435</v>
      </c>
      <c r="I264" s="2" t="s">
        <v>14</v>
      </c>
      <c r="J264" s="4">
        <f t="shared" si="4"/>
        <v>5</v>
      </c>
    </row>
    <row r="265" spans="1:10" x14ac:dyDescent="0.3">
      <c r="A265" s="3" t="s">
        <v>18</v>
      </c>
      <c r="B265" s="2" t="s">
        <v>19</v>
      </c>
      <c r="C265" s="2" t="s">
        <v>21</v>
      </c>
      <c r="D265" s="14">
        <v>59</v>
      </c>
      <c r="E265" s="14">
        <v>64</v>
      </c>
      <c r="F265" s="2">
        <v>10</v>
      </c>
      <c r="G265" s="2">
        <v>229</v>
      </c>
      <c r="H265" s="14">
        <v>12366</v>
      </c>
      <c r="I265" s="2" t="s">
        <v>12</v>
      </c>
      <c r="J265" s="4">
        <f t="shared" si="4"/>
        <v>5</v>
      </c>
    </row>
    <row r="266" spans="1:10" x14ac:dyDescent="0.3">
      <c r="A266" s="3" t="s">
        <v>20</v>
      </c>
      <c r="B266" s="2" t="s">
        <v>16</v>
      </c>
      <c r="C266" s="2" t="s">
        <v>24</v>
      </c>
      <c r="D266" s="14">
        <v>113</v>
      </c>
      <c r="E266" s="14">
        <v>128</v>
      </c>
      <c r="F266" s="2">
        <v>5</v>
      </c>
      <c r="G266" s="2">
        <v>90</v>
      </c>
      <c r="H266" s="14">
        <v>11070</v>
      </c>
      <c r="I266" s="2" t="s">
        <v>14</v>
      </c>
      <c r="J266" s="4">
        <f t="shared" si="4"/>
        <v>5</v>
      </c>
    </row>
    <row r="267" spans="1:10" x14ac:dyDescent="0.3">
      <c r="A267" s="3" t="s">
        <v>26</v>
      </c>
      <c r="B267" s="2" t="s">
        <v>27</v>
      </c>
      <c r="C267" s="2" t="s">
        <v>13</v>
      </c>
      <c r="D267" s="14">
        <v>40</v>
      </c>
      <c r="E267" s="14">
        <v>50</v>
      </c>
      <c r="F267" s="2">
        <v>5</v>
      </c>
      <c r="G267" s="2">
        <v>104</v>
      </c>
      <c r="H267" s="14">
        <v>4680</v>
      </c>
      <c r="I267" s="2" t="s">
        <v>12</v>
      </c>
      <c r="J267" s="4">
        <f t="shared" si="4"/>
        <v>2.8571428571428572</v>
      </c>
    </row>
    <row r="268" spans="1:10" x14ac:dyDescent="0.3">
      <c r="A268" s="3" t="s">
        <v>30</v>
      </c>
      <c r="B268" s="2" t="s">
        <v>10</v>
      </c>
      <c r="C268" s="2" t="s">
        <v>24</v>
      </c>
      <c r="D268" s="14">
        <v>75</v>
      </c>
      <c r="E268" s="14">
        <v>80</v>
      </c>
      <c r="F268" s="2">
        <v>10</v>
      </c>
      <c r="G268" s="2">
        <v>108</v>
      </c>
      <c r="H268" s="14">
        <v>7560</v>
      </c>
      <c r="I268" s="2" t="s">
        <v>12</v>
      </c>
      <c r="J268" s="4">
        <f t="shared" si="4"/>
        <v>6</v>
      </c>
    </row>
    <row r="269" spans="1:10" x14ac:dyDescent="0.3">
      <c r="A269" s="3" t="s">
        <v>26</v>
      </c>
      <c r="B269" s="2" t="s">
        <v>27</v>
      </c>
      <c r="C269" s="2" t="s">
        <v>17</v>
      </c>
      <c r="D269" s="14">
        <v>26</v>
      </c>
      <c r="E269" s="14">
        <v>36</v>
      </c>
      <c r="F269" s="2">
        <v>0</v>
      </c>
      <c r="G269" s="2">
        <v>184</v>
      </c>
      <c r="H269" s="14">
        <v>6624</v>
      </c>
      <c r="I269" s="2" t="s">
        <v>12</v>
      </c>
      <c r="J269" s="4">
        <f t="shared" si="4"/>
        <v>2.5</v>
      </c>
    </row>
    <row r="270" spans="1:10" x14ac:dyDescent="0.3">
      <c r="A270" s="3" t="s">
        <v>20</v>
      </c>
      <c r="B270" s="2" t="s">
        <v>16</v>
      </c>
      <c r="C270" s="2" t="s">
        <v>17</v>
      </c>
      <c r="D270" s="14">
        <v>51</v>
      </c>
      <c r="E270" s="14">
        <v>61</v>
      </c>
      <c r="F270" s="2">
        <v>10</v>
      </c>
      <c r="G270" s="2">
        <v>161</v>
      </c>
      <c r="H270" s="14">
        <v>8211</v>
      </c>
      <c r="I270" s="2" t="s">
        <v>12</v>
      </c>
      <c r="J270" s="4">
        <f t="shared" si="4"/>
        <v>5</v>
      </c>
    </row>
    <row r="271" spans="1:10" x14ac:dyDescent="0.3">
      <c r="A271" s="3" t="s">
        <v>30</v>
      </c>
      <c r="B271" s="2" t="s">
        <v>10</v>
      </c>
      <c r="C271" s="2" t="s">
        <v>24</v>
      </c>
      <c r="D271" s="14">
        <v>101</v>
      </c>
      <c r="E271" s="14">
        <v>111</v>
      </c>
      <c r="F271" s="2">
        <v>0</v>
      </c>
      <c r="G271" s="2">
        <v>85</v>
      </c>
      <c r="H271" s="14">
        <v>9435</v>
      </c>
      <c r="I271" s="2" t="s">
        <v>14</v>
      </c>
      <c r="J271" s="4">
        <f t="shared" si="4"/>
        <v>5.5555555555555554</v>
      </c>
    </row>
    <row r="272" spans="1:10" x14ac:dyDescent="0.3">
      <c r="A272" s="3" t="s">
        <v>31</v>
      </c>
      <c r="B272" s="2" t="s">
        <v>32</v>
      </c>
      <c r="C272" s="2" t="s">
        <v>17</v>
      </c>
      <c r="D272" s="14">
        <v>175</v>
      </c>
      <c r="E272" s="14">
        <v>190</v>
      </c>
      <c r="F272" s="2">
        <v>5</v>
      </c>
      <c r="G272" s="2">
        <v>80</v>
      </c>
      <c r="H272" s="14">
        <v>14800</v>
      </c>
      <c r="I272" s="2" t="s">
        <v>12</v>
      </c>
      <c r="J272" s="4">
        <f t="shared" si="4"/>
        <v>5.833333333333333</v>
      </c>
    </row>
    <row r="273" spans="1:10" x14ac:dyDescent="0.3">
      <c r="A273" s="3" t="s">
        <v>31</v>
      </c>
      <c r="B273" s="2" t="s">
        <v>32</v>
      </c>
      <c r="C273" s="2" t="s">
        <v>13</v>
      </c>
      <c r="D273" s="14">
        <v>21</v>
      </c>
      <c r="E273" s="14">
        <v>21</v>
      </c>
      <c r="F273" s="2">
        <v>5</v>
      </c>
      <c r="G273" s="2">
        <v>87</v>
      </c>
      <c r="H273" s="14">
        <v>1392</v>
      </c>
      <c r="I273" s="2" t="s">
        <v>12</v>
      </c>
      <c r="J273" s="4">
        <f t="shared" si="4"/>
        <v>6</v>
      </c>
    </row>
    <row r="274" spans="1:10" x14ac:dyDescent="0.3">
      <c r="A274" s="3" t="s">
        <v>26</v>
      </c>
      <c r="B274" s="2" t="s">
        <v>27</v>
      </c>
      <c r="C274" s="2" t="s">
        <v>11</v>
      </c>
      <c r="D274" s="14">
        <v>117</v>
      </c>
      <c r="E274" s="14">
        <v>132</v>
      </c>
      <c r="F274" s="2">
        <v>0</v>
      </c>
      <c r="G274" s="2">
        <v>129</v>
      </c>
      <c r="H274" s="14">
        <v>17028</v>
      </c>
      <c r="I274" s="2" t="s">
        <v>12</v>
      </c>
      <c r="J274" s="4">
        <f t="shared" si="4"/>
        <v>3</v>
      </c>
    </row>
    <row r="275" spans="1:10" x14ac:dyDescent="0.3">
      <c r="A275" s="3" t="s">
        <v>20</v>
      </c>
      <c r="B275" s="2" t="s">
        <v>16</v>
      </c>
      <c r="C275" s="2" t="s">
        <v>13</v>
      </c>
      <c r="D275" s="14">
        <v>70</v>
      </c>
      <c r="E275" s="14">
        <v>75</v>
      </c>
      <c r="F275" s="2">
        <v>0</v>
      </c>
      <c r="G275" s="2">
        <v>270</v>
      </c>
      <c r="H275" s="14">
        <v>20250</v>
      </c>
      <c r="I275" s="2" t="s">
        <v>12</v>
      </c>
      <c r="J275" s="4">
        <f t="shared" si="4"/>
        <v>4.166666666666667</v>
      </c>
    </row>
    <row r="276" spans="1:10" x14ac:dyDescent="0.3">
      <c r="A276" s="3" t="s">
        <v>15</v>
      </c>
      <c r="B276" s="2" t="s">
        <v>16</v>
      </c>
      <c r="C276" s="2" t="s">
        <v>24</v>
      </c>
      <c r="D276" s="14">
        <v>107</v>
      </c>
      <c r="E276" s="14">
        <v>107</v>
      </c>
      <c r="F276" s="2">
        <v>10</v>
      </c>
      <c r="G276" s="2">
        <v>193</v>
      </c>
      <c r="H276" s="14">
        <v>18721</v>
      </c>
      <c r="I276" s="2" t="s">
        <v>14</v>
      </c>
      <c r="J276" s="4">
        <f t="shared" si="4"/>
        <v>5</v>
      </c>
    </row>
    <row r="277" spans="1:10" x14ac:dyDescent="0.3">
      <c r="A277" s="3" t="s">
        <v>26</v>
      </c>
      <c r="B277" s="2" t="s">
        <v>27</v>
      </c>
      <c r="C277" s="2" t="s">
        <v>13</v>
      </c>
      <c r="D277" s="14">
        <v>198</v>
      </c>
      <c r="E277" s="14">
        <v>213</v>
      </c>
      <c r="F277" s="2">
        <v>5</v>
      </c>
      <c r="G277" s="2">
        <v>136</v>
      </c>
      <c r="H277" s="14">
        <v>28288</v>
      </c>
      <c r="I277" s="2" t="s">
        <v>12</v>
      </c>
      <c r="J277" s="4">
        <f t="shared" si="4"/>
        <v>3.75</v>
      </c>
    </row>
    <row r="278" spans="1:10" x14ac:dyDescent="0.3">
      <c r="A278" s="3" t="s">
        <v>30</v>
      </c>
      <c r="B278" s="2" t="s">
        <v>10</v>
      </c>
      <c r="C278" s="2" t="s">
        <v>13</v>
      </c>
      <c r="D278" s="14">
        <v>161</v>
      </c>
      <c r="E278" s="14">
        <v>161</v>
      </c>
      <c r="F278" s="2">
        <v>0</v>
      </c>
      <c r="G278" s="2">
        <v>188</v>
      </c>
      <c r="H278" s="14">
        <v>30268</v>
      </c>
      <c r="I278" s="2" t="s">
        <v>12</v>
      </c>
      <c r="J278" s="4">
        <f t="shared" si="4"/>
        <v>6.25</v>
      </c>
    </row>
    <row r="279" spans="1:10" x14ac:dyDescent="0.3">
      <c r="A279" s="3" t="s">
        <v>31</v>
      </c>
      <c r="B279" s="2" t="s">
        <v>32</v>
      </c>
      <c r="C279" s="2" t="s">
        <v>17</v>
      </c>
      <c r="D279" s="14">
        <v>137</v>
      </c>
      <c r="E279" s="14">
        <v>147</v>
      </c>
      <c r="F279" s="2">
        <v>5</v>
      </c>
      <c r="G279" s="2">
        <v>211</v>
      </c>
      <c r="H279" s="14">
        <v>29962</v>
      </c>
      <c r="I279" s="2" t="s">
        <v>12</v>
      </c>
      <c r="J279" s="4">
        <f t="shared" si="4"/>
        <v>6.25</v>
      </c>
    </row>
    <row r="280" spans="1:10" x14ac:dyDescent="0.3">
      <c r="A280" s="3" t="s">
        <v>26</v>
      </c>
      <c r="B280" s="2" t="s">
        <v>27</v>
      </c>
      <c r="C280" s="2" t="s">
        <v>17</v>
      </c>
      <c r="D280" s="14">
        <v>45</v>
      </c>
      <c r="E280" s="14">
        <v>55</v>
      </c>
      <c r="F280" s="2">
        <v>10</v>
      </c>
      <c r="G280" s="2">
        <v>84</v>
      </c>
      <c r="H280" s="14">
        <v>3780</v>
      </c>
      <c r="I280" s="2" t="s">
        <v>14</v>
      </c>
      <c r="J280" s="4">
        <f t="shared" si="4"/>
        <v>3.3333333333333335</v>
      </c>
    </row>
    <row r="281" spans="1:10" x14ac:dyDescent="0.3">
      <c r="A281" s="3" t="s">
        <v>31</v>
      </c>
      <c r="B281" s="2" t="s">
        <v>32</v>
      </c>
      <c r="C281" s="2" t="s">
        <v>24</v>
      </c>
      <c r="D281" s="14">
        <v>191</v>
      </c>
      <c r="E281" s="14">
        <v>206</v>
      </c>
      <c r="F281" s="2">
        <v>10</v>
      </c>
      <c r="G281" s="2">
        <v>297</v>
      </c>
      <c r="H281" s="14">
        <v>58212</v>
      </c>
      <c r="I281" s="2" t="s">
        <v>12</v>
      </c>
      <c r="J281" s="4">
        <f t="shared" si="4"/>
        <v>6.666666666666667</v>
      </c>
    </row>
    <row r="282" spans="1:10" x14ac:dyDescent="0.3">
      <c r="A282" s="3" t="s">
        <v>26</v>
      </c>
      <c r="B282" s="2" t="s">
        <v>27</v>
      </c>
      <c r="C282" s="2" t="s">
        <v>13</v>
      </c>
      <c r="D282" s="14">
        <v>125</v>
      </c>
      <c r="E282" s="14">
        <v>130</v>
      </c>
      <c r="F282" s="2">
        <v>0</v>
      </c>
      <c r="G282" s="2">
        <v>214</v>
      </c>
      <c r="H282" s="14">
        <v>27820</v>
      </c>
      <c r="I282" s="2" t="s">
        <v>12</v>
      </c>
      <c r="J282" s="4">
        <f t="shared" si="4"/>
        <v>0</v>
      </c>
    </row>
    <row r="283" spans="1:10" x14ac:dyDescent="0.3">
      <c r="A283" s="3" t="s">
        <v>22</v>
      </c>
      <c r="B283" s="2" t="s">
        <v>23</v>
      </c>
      <c r="C283" s="2" t="s">
        <v>21</v>
      </c>
      <c r="D283" s="14">
        <v>171</v>
      </c>
      <c r="E283" s="14">
        <v>186</v>
      </c>
      <c r="F283" s="2">
        <v>5</v>
      </c>
      <c r="G283" s="2">
        <v>60</v>
      </c>
      <c r="H283" s="14">
        <v>10860</v>
      </c>
      <c r="I283" s="2" t="s">
        <v>12</v>
      </c>
      <c r="J283" s="4">
        <f t="shared" si="4"/>
        <v>5</v>
      </c>
    </row>
    <row r="284" spans="1:10" x14ac:dyDescent="0.3">
      <c r="A284" s="3" t="s">
        <v>15</v>
      </c>
      <c r="B284" s="2" t="s">
        <v>16</v>
      </c>
      <c r="C284" s="2" t="s">
        <v>13</v>
      </c>
      <c r="D284" s="14">
        <v>57</v>
      </c>
      <c r="E284" s="14">
        <v>72</v>
      </c>
      <c r="F284" s="2">
        <v>5</v>
      </c>
      <c r="G284" s="2">
        <v>196</v>
      </c>
      <c r="H284" s="14">
        <v>13132</v>
      </c>
      <c r="I284" s="2" t="s">
        <v>14</v>
      </c>
      <c r="J284" s="4">
        <f t="shared" si="4"/>
        <v>3.75</v>
      </c>
    </row>
    <row r="285" spans="1:10" x14ac:dyDescent="0.3">
      <c r="A285" s="3" t="s">
        <v>30</v>
      </c>
      <c r="B285" s="2" t="s">
        <v>10</v>
      </c>
      <c r="C285" s="2" t="s">
        <v>13</v>
      </c>
      <c r="D285" s="14">
        <v>56</v>
      </c>
      <c r="E285" s="14">
        <v>56</v>
      </c>
      <c r="F285" s="2">
        <v>10</v>
      </c>
      <c r="G285" s="2">
        <v>251</v>
      </c>
      <c r="H285" s="14">
        <v>11546</v>
      </c>
      <c r="I285" s="2" t="s">
        <v>12</v>
      </c>
      <c r="J285" s="4">
        <f t="shared" si="4"/>
        <v>7.1428571428571432</v>
      </c>
    </row>
    <row r="286" spans="1:10" x14ac:dyDescent="0.3">
      <c r="A286" s="3" t="s">
        <v>20</v>
      </c>
      <c r="B286" s="2" t="s">
        <v>16</v>
      </c>
      <c r="C286" s="2" t="s">
        <v>24</v>
      </c>
      <c r="D286" s="14">
        <v>70</v>
      </c>
      <c r="E286" s="14">
        <v>70</v>
      </c>
      <c r="F286" s="2">
        <v>0</v>
      </c>
      <c r="G286" s="2">
        <v>218</v>
      </c>
      <c r="H286" s="14">
        <v>15260</v>
      </c>
      <c r="I286" s="2" t="s">
        <v>12</v>
      </c>
      <c r="J286" s="4">
        <f t="shared" si="4"/>
        <v>3.3333333333333335</v>
      </c>
    </row>
    <row r="287" spans="1:10" x14ac:dyDescent="0.3">
      <c r="A287" s="3" t="s">
        <v>20</v>
      </c>
      <c r="B287" s="2" t="s">
        <v>16</v>
      </c>
      <c r="C287" s="2" t="s">
        <v>25</v>
      </c>
      <c r="D287" s="14">
        <v>57</v>
      </c>
      <c r="E287" s="14">
        <v>67</v>
      </c>
      <c r="F287" s="2">
        <v>0</v>
      </c>
      <c r="G287" s="2">
        <v>131</v>
      </c>
      <c r="H287" s="14">
        <v>8777</v>
      </c>
      <c r="I287" s="2" t="s">
        <v>14</v>
      </c>
      <c r="J287" s="4">
        <f t="shared" si="4"/>
        <v>5</v>
      </c>
    </row>
    <row r="288" spans="1:10" x14ac:dyDescent="0.3">
      <c r="A288" s="3" t="s">
        <v>30</v>
      </c>
      <c r="B288" s="2" t="s">
        <v>10</v>
      </c>
      <c r="C288" s="2" t="s">
        <v>17</v>
      </c>
      <c r="D288" s="14">
        <v>104</v>
      </c>
      <c r="E288" s="14">
        <v>114</v>
      </c>
      <c r="F288" s="2">
        <v>5</v>
      </c>
      <c r="G288" s="2">
        <v>255</v>
      </c>
      <c r="H288" s="14">
        <v>27795</v>
      </c>
      <c r="I288" s="2" t="s">
        <v>12</v>
      </c>
      <c r="J288" s="4">
        <f t="shared" si="4"/>
        <v>6.666666666666667</v>
      </c>
    </row>
    <row r="289" spans="1:10" x14ac:dyDescent="0.3">
      <c r="A289" s="3" t="s">
        <v>29</v>
      </c>
      <c r="B289" s="2" t="s">
        <v>19</v>
      </c>
      <c r="C289" s="2" t="s">
        <v>11</v>
      </c>
      <c r="D289" s="14">
        <v>82</v>
      </c>
      <c r="E289" s="14">
        <v>87</v>
      </c>
      <c r="F289" s="2">
        <v>0</v>
      </c>
      <c r="G289" s="2">
        <v>180</v>
      </c>
      <c r="H289" s="14">
        <v>15660</v>
      </c>
      <c r="I289" s="2" t="s">
        <v>12</v>
      </c>
      <c r="J289" s="4">
        <f t="shared" si="4"/>
        <v>0</v>
      </c>
    </row>
    <row r="290" spans="1:10" x14ac:dyDescent="0.3">
      <c r="A290" s="3" t="s">
        <v>15</v>
      </c>
      <c r="B290" s="2" t="s">
        <v>16</v>
      </c>
      <c r="C290" s="2" t="s">
        <v>11</v>
      </c>
      <c r="D290" s="14">
        <v>119</v>
      </c>
      <c r="E290" s="14">
        <v>129</v>
      </c>
      <c r="F290" s="2">
        <v>10</v>
      </c>
      <c r="G290" s="2">
        <v>164</v>
      </c>
      <c r="H290" s="14">
        <v>19516</v>
      </c>
      <c r="I290" s="2" t="s">
        <v>12</v>
      </c>
      <c r="J290" s="4">
        <f t="shared" si="4"/>
        <v>10</v>
      </c>
    </row>
    <row r="291" spans="1:10" x14ac:dyDescent="0.3">
      <c r="A291" s="3" t="s">
        <v>30</v>
      </c>
      <c r="B291" s="2" t="s">
        <v>10</v>
      </c>
      <c r="C291" s="2" t="s">
        <v>11</v>
      </c>
      <c r="D291" s="14">
        <v>48</v>
      </c>
      <c r="E291" s="14">
        <v>58</v>
      </c>
      <c r="F291" s="2">
        <v>10</v>
      </c>
      <c r="G291" s="2">
        <v>244</v>
      </c>
      <c r="H291" s="14">
        <v>11712</v>
      </c>
      <c r="I291" s="2" t="s">
        <v>12</v>
      </c>
      <c r="J291" s="4">
        <f t="shared" si="4"/>
        <v>7</v>
      </c>
    </row>
    <row r="292" spans="1:10" x14ac:dyDescent="0.3">
      <c r="A292" s="3" t="s">
        <v>22</v>
      </c>
      <c r="B292" s="2" t="s">
        <v>23</v>
      </c>
      <c r="C292" s="2" t="s">
        <v>25</v>
      </c>
      <c r="D292" s="14">
        <v>88</v>
      </c>
      <c r="E292" s="14">
        <v>93</v>
      </c>
      <c r="F292" s="2">
        <v>5</v>
      </c>
      <c r="G292" s="2">
        <v>72</v>
      </c>
      <c r="H292" s="14">
        <v>6336</v>
      </c>
      <c r="I292" s="2" t="s">
        <v>14</v>
      </c>
      <c r="J292" s="4">
        <f t="shared" si="4"/>
        <v>5</v>
      </c>
    </row>
    <row r="293" spans="1:10" x14ac:dyDescent="0.3">
      <c r="A293" s="3" t="s">
        <v>31</v>
      </c>
      <c r="B293" s="2" t="s">
        <v>32</v>
      </c>
      <c r="C293" s="2" t="s">
        <v>13</v>
      </c>
      <c r="D293" s="14">
        <v>32</v>
      </c>
      <c r="E293" s="14">
        <v>32</v>
      </c>
      <c r="F293" s="2">
        <v>0</v>
      </c>
      <c r="G293" s="2">
        <v>67</v>
      </c>
      <c r="H293" s="14">
        <v>2144</v>
      </c>
      <c r="I293" s="2" t="s">
        <v>12</v>
      </c>
      <c r="J293" s="4">
        <f t="shared" si="4"/>
        <v>5</v>
      </c>
    </row>
    <row r="294" spans="1:10" x14ac:dyDescent="0.3">
      <c r="A294" s="3" t="s">
        <v>31</v>
      </c>
      <c r="B294" s="2" t="s">
        <v>32</v>
      </c>
      <c r="C294" s="2" t="s">
        <v>25</v>
      </c>
      <c r="D294" s="14">
        <v>31</v>
      </c>
      <c r="E294" s="14">
        <v>46</v>
      </c>
      <c r="F294" s="2">
        <v>10</v>
      </c>
      <c r="G294" s="2">
        <v>161</v>
      </c>
      <c r="H294" s="14">
        <v>5796</v>
      </c>
      <c r="I294" s="2" t="s">
        <v>12</v>
      </c>
      <c r="J294" s="4">
        <f t="shared" si="4"/>
        <v>10</v>
      </c>
    </row>
    <row r="295" spans="1:10" x14ac:dyDescent="0.3">
      <c r="A295" s="3" t="s">
        <v>26</v>
      </c>
      <c r="B295" s="2" t="s">
        <v>27</v>
      </c>
      <c r="C295" s="2" t="s">
        <v>13</v>
      </c>
      <c r="D295" s="14">
        <v>125</v>
      </c>
      <c r="E295" s="14">
        <v>140</v>
      </c>
      <c r="F295" s="2">
        <v>0</v>
      </c>
      <c r="G295" s="2">
        <v>283</v>
      </c>
      <c r="H295" s="14">
        <v>39620</v>
      </c>
      <c r="I295" s="2" t="s">
        <v>14</v>
      </c>
      <c r="J295" s="4">
        <f t="shared" si="4"/>
        <v>0</v>
      </c>
    </row>
    <row r="296" spans="1:10" x14ac:dyDescent="0.3">
      <c r="A296" s="3" t="s">
        <v>30</v>
      </c>
      <c r="B296" s="2" t="s">
        <v>10</v>
      </c>
      <c r="C296" s="2" t="s">
        <v>24</v>
      </c>
      <c r="D296" s="14">
        <v>134</v>
      </c>
      <c r="E296" s="14">
        <v>144</v>
      </c>
      <c r="F296" s="2">
        <v>0</v>
      </c>
      <c r="G296" s="2">
        <v>190</v>
      </c>
      <c r="H296" s="14">
        <v>27360</v>
      </c>
      <c r="I296" s="2" t="s">
        <v>14</v>
      </c>
      <c r="J296" s="4">
        <f t="shared" si="4"/>
        <v>6.25</v>
      </c>
    </row>
    <row r="297" spans="1:10" x14ac:dyDescent="0.3">
      <c r="A297" s="3" t="s">
        <v>9</v>
      </c>
      <c r="B297" s="2" t="s">
        <v>10</v>
      </c>
      <c r="C297" s="2" t="s">
        <v>13</v>
      </c>
      <c r="D297" s="14">
        <v>198</v>
      </c>
      <c r="E297" s="14">
        <v>198</v>
      </c>
      <c r="F297" s="2">
        <v>5</v>
      </c>
      <c r="G297" s="2">
        <v>52</v>
      </c>
      <c r="H297" s="14">
        <v>10036</v>
      </c>
      <c r="I297" s="2" t="s">
        <v>14</v>
      </c>
      <c r="J297" s="4">
        <f t="shared" si="4"/>
        <v>8.3333333333333339</v>
      </c>
    </row>
    <row r="298" spans="1:10" x14ac:dyDescent="0.3">
      <c r="A298" s="3" t="s">
        <v>22</v>
      </c>
      <c r="B298" s="2" t="s">
        <v>23</v>
      </c>
      <c r="C298" s="2" t="s">
        <v>17</v>
      </c>
      <c r="D298" s="14">
        <v>131</v>
      </c>
      <c r="E298" s="14">
        <v>146</v>
      </c>
      <c r="F298" s="2">
        <v>10</v>
      </c>
      <c r="G298" s="2">
        <v>146</v>
      </c>
      <c r="H298" s="14">
        <v>19856</v>
      </c>
      <c r="I298" s="2" t="s">
        <v>12</v>
      </c>
      <c r="J298" s="4">
        <f t="shared" si="4"/>
        <v>5</v>
      </c>
    </row>
    <row r="299" spans="1:10" x14ac:dyDescent="0.3">
      <c r="A299" s="3" t="s">
        <v>28</v>
      </c>
      <c r="B299" s="2" t="s">
        <v>10</v>
      </c>
      <c r="C299" s="2" t="s">
        <v>11</v>
      </c>
      <c r="D299" s="14">
        <v>171</v>
      </c>
      <c r="E299" s="14">
        <v>176</v>
      </c>
      <c r="F299" s="2">
        <v>10</v>
      </c>
      <c r="G299" s="2">
        <v>291</v>
      </c>
      <c r="H299" s="14">
        <v>48306</v>
      </c>
      <c r="I299" s="2" t="s">
        <v>12</v>
      </c>
      <c r="J299" s="4">
        <f t="shared" si="4"/>
        <v>10</v>
      </c>
    </row>
    <row r="300" spans="1:10" x14ac:dyDescent="0.3">
      <c r="A300" s="3" t="s">
        <v>22</v>
      </c>
      <c r="B300" s="2" t="s">
        <v>23</v>
      </c>
      <c r="C300" s="2" t="s">
        <v>25</v>
      </c>
      <c r="D300" s="14">
        <v>94</v>
      </c>
      <c r="E300" s="14">
        <v>99</v>
      </c>
      <c r="F300" s="2">
        <v>0</v>
      </c>
      <c r="G300" s="2">
        <v>124</v>
      </c>
      <c r="H300" s="14">
        <v>12276</v>
      </c>
      <c r="I300" s="2" t="s">
        <v>12</v>
      </c>
      <c r="J300" s="4">
        <f t="shared" si="4"/>
        <v>0</v>
      </c>
    </row>
    <row r="301" spans="1:10" x14ac:dyDescent="0.3">
      <c r="A301" s="8" t="s">
        <v>30</v>
      </c>
      <c r="B301" s="9" t="s">
        <v>10</v>
      </c>
      <c r="C301" s="9" t="s">
        <v>21</v>
      </c>
      <c r="D301" s="17">
        <v>129</v>
      </c>
      <c r="E301" s="17">
        <v>129</v>
      </c>
      <c r="F301" s="9">
        <v>10</v>
      </c>
      <c r="G301" s="9">
        <v>272</v>
      </c>
      <c r="H301" s="17">
        <v>32368</v>
      </c>
      <c r="I301" s="9" t="s">
        <v>12</v>
      </c>
      <c r="J301" s="10">
        <f t="shared" si="4"/>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1183-9265-4884-BB9D-309F5CB328E8}">
  <dimension ref="A1:N14"/>
  <sheetViews>
    <sheetView workbookViewId="0">
      <selection activeCell="N3" sqref="N3"/>
    </sheetView>
  </sheetViews>
  <sheetFormatPr defaultRowHeight="14.4" x14ac:dyDescent="0.3"/>
  <cols>
    <col min="1" max="1" width="12.5546875" bestFit="1" customWidth="1"/>
    <col min="2" max="2" width="19.6640625" bestFit="1" customWidth="1"/>
    <col min="5" max="5" width="12.5546875" bestFit="1" customWidth="1"/>
    <col min="6" max="6" width="24.6640625" bestFit="1" customWidth="1"/>
    <col min="9" max="9" width="12.5546875" bestFit="1" customWidth="1"/>
    <col min="10" max="10" width="19.6640625" bestFit="1" customWidth="1"/>
    <col min="13" max="13" width="14.5546875" bestFit="1" customWidth="1"/>
    <col min="14" max="14" width="13.109375" bestFit="1" customWidth="1"/>
  </cols>
  <sheetData>
    <row r="1" spans="1:14" x14ac:dyDescent="0.3">
      <c r="A1" s="21"/>
      <c r="B1" s="21"/>
      <c r="E1" s="21"/>
      <c r="F1" s="21"/>
      <c r="I1" s="21"/>
      <c r="J1" s="21"/>
      <c r="M1" s="21"/>
      <c r="N1" s="21"/>
    </row>
    <row r="3" spans="1:14" x14ac:dyDescent="0.3">
      <c r="A3" s="11" t="s">
        <v>33</v>
      </c>
      <c r="B3" t="s">
        <v>35</v>
      </c>
      <c r="E3" s="11" t="s">
        <v>33</v>
      </c>
      <c r="F3" t="s">
        <v>39</v>
      </c>
      <c r="I3" s="11" t="s">
        <v>33</v>
      </c>
      <c r="J3" t="s">
        <v>35</v>
      </c>
      <c r="M3" s="11" t="s">
        <v>33</v>
      </c>
      <c r="N3" t="s">
        <v>40</v>
      </c>
    </row>
    <row r="4" spans="1:14" x14ac:dyDescent="0.3">
      <c r="A4" s="12" t="s">
        <v>24</v>
      </c>
      <c r="B4" s="15">
        <v>1019724</v>
      </c>
      <c r="E4" s="12" t="s">
        <v>19</v>
      </c>
      <c r="F4">
        <v>266.22799936930483</v>
      </c>
      <c r="I4" s="12" t="s">
        <v>12</v>
      </c>
      <c r="J4" s="15">
        <v>4118879</v>
      </c>
      <c r="M4" s="12" t="s">
        <v>20</v>
      </c>
      <c r="N4" s="22">
        <v>5121</v>
      </c>
    </row>
    <row r="5" spans="1:14" x14ac:dyDescent="0.3">
      <c r="A5" s="12" t="s">
        <v>21</v>
      </c>
      <c r="B5" s="15">
        <v>834726</v>
      </c>
      <c r="E5" s="12" t="s">
        <v>32</v>
      </c>
      <c r="F5">
        <v>198.17784236800802</v>
      </c>
      <c r="I5" s="12" t="s">
        <v>14</v>
      </c>
      <c r="J5" s="15">
        <v>1664472</v>
      </c>
      <c r="M5" s="12" t="s">
        <v>22</v>
      </c>
      <c r="N5" s="22">
        <v>4902</v>
      </c>
    </row>
    <row r="6" spans="1:14" x14ac:dyDescent="0.3">
      <c r="A6" s="12" t="s">
        <v>11</v>
      </c>
      <c r="B6" s="15">
        <v>884943</v>
      </c>
      <c r="E6" s="12" t="s">
        <v>23</v>
      </c>
      <c r="F6">
        <v>146.30720013722436</v>
      </c>
      <c r="I6" s="12" t="s">
        <v>34</v>
      </c>
      <c r="J6" s="15">
        <v>5783351</v>
      </c>
      <c r="M6" s="12" t="s">
        <v>9</v>
      </c>
      <c r="N6" s="22">
        <v>4148</v>
      </c>
    </row>
    <row r="7" spans="1:14" x14ac:dyDescent="0.3">
      <c r="A7" s="12" t="s">
        <v>17</v>
      </c>
      <c r="B7" s="15">
        <v>1250930</v>
      </c>
      <c r="E7" s="12" t="s">
        <v>16</v>
      </c>
      <c r="F7">
        <v>257.46512654879388</v>
      </c>
      <c r="M7" s="12" t="s">
        <v>29</v>
      </c>
      <c r="N7" s="22">
        <v>6175</v>
      </c>
    </row>
    <row r="8" spans="1:14" x14ac:dyDescent="0.3">
      <c r="A8" s="12" t="s">
        <v>25</v>
      </c>
      <c r="B8" s="15">
        <v>799190</v>
      </c>
      <c r="E8" s="12" t="s">
        <v>27</v>
      </c>
      <c r="F8">
        <v>139.71407806620397</v>
      </c>
      <c r="M8" s="12" t="s">
        <v>15</v>
      </c>
      <c r="N8" s="22">
        <v>4318</v>
      </c>
    </row>
    <row r="9" spans="1:14" x14ac:dyDescent="0.3">
      <c r="A9" s="12" t="s">
        <v>13</v>
      </c>
      <c r="B9" s="15">
        <v>993838</v>
      </c>
      <c r="E9" s="12" t="s">
        <v>10</v>
      </c>
      <c r="F9">
        <v>431.03351819933056</v>
      </c>
      <c r="M9" s="12" t="s">
        <v>26</v>
      </c>
      <c r="N9" s="22">
        <v>5654</v>
      </c>
    </row>
    <row r="10" spans="1:14" x14ac:dyDescent="0.3">
      <c r="A10" s="12" t="s">
        <v>34</v>
      </c>
      <c r="B10" s="15">
        <v>5783351</v>
      </c>
      <c r="E10" s="12" t="s">
        <v>34</v>
      </c>
      <c r="F10">
        <v>1438.9257646888655</v>
      </c>
      <c r="M10" s="12" t="s">
        <v>31</v>
      </c>
      <c r="N10" s="22">
        <v>5243</v>
      </c>
    </row>
    <row r="11" spans="1:14" x14ac:dyDescent="0.3">
      <c r="M11" s="12" t="s">
        <v>28</v>
      </c>
      <c r="N11" s="22">
        <v>4469</v>
      </c>
    </row>
    <row r="12" spans="1:14" x14ac:dyDescent="0.3">
      <c r="M12" s="12" t="s">
        <v>30</v>
      </c>
      <c r="N12" s="22">
        <v>5789</v>
      </c>
    </row>
    <row r="13" spans="1:14" x14ac:dyDescent="0.3">
      <c r="M13" s="12" t="s">
        <v>18</v>
      </c>
      <c r="N13" s="22">
        <v>4627</v>
      </c>
    </row>
    <row r="14" spans="1:14" x14ac:dyDescent="0.3">
      <c r="M14" s="12" t="s">
        <v>34</v>
      </c>
      <c r="N14" s="22">
        <v>50446</v>
      </c>
    </row>
  </sheetData>
  <mergeCells count="4">
    <mergeCell ref="A1:B1"/>
    <mergeCell ref="E1:F1"/>
    <mergeCell ref="I1:J1"/>
    <mergeCell ref="M1:N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91A162-2BA7-46A3-B147-F848EAD0A8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zepto_sales_dataset_csv</vt:lpstr>
      <vt:lpstr>Dashboard</vt:lpstr>
      <vt:lpstr>zepto_sales_dataset</vt:lpstr>
      <vt:lpstr>Table</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2025-12-06T08:51:33Z</dcterms:created>
  <dcterms:modified xsi:type="dcterms:W3CDTF">2025-12-12T11:09:44Z</dcterms:modified>
</cp:coreProperties>
</file>